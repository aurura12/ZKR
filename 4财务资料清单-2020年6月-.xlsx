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istrator\Desktop\datapack\财务梳理\"/>
    </mc:Choice>
  </mc:AlternateContent>
  <xr:revisionPtr revIDLastSave="0" documentId="13_ncr:1_{955197EC-0AA4-465B-99C5-53C2579223BB}" xr6:coauthVersionLast="47" xr6:coauthVersionMax="47" xr10:uidLastSave="{00000000-0000-0000-0000-000000000000}"/>
  <bookViews>
    <workbookView xWindow="-108" yWindow="-108" windowWidth="23256" windowHeight="12456" tabRatio="728" xr2:uid="{00000000-000D-0000-FFFF-FFFF00000000}"/>
  </bookViews>
  <sheets>
    <sheet name="材料汇总" sheetId="59" r:id="rId1"/>
    <sheet name="内部关联方基本信息" sheetId="61" r:id="rId2"/>
    <sheet name="关联方交易" sheetId="73" r:id="rId3"/>
    <sheet name="实收资本" sheetId="76" r:id="rId4"/>
    <sheet name="盈利预测" sheetId="75" r:id="rId5"/>
    <sheet name="合并口径财务报表" sheetId="13" r:id="rId6"/>
    <sheet name="报告（自动生成）" sheetId="16" r:id="rId7"/>
    <sheet name="收入、毛利率构成表" sheetId="37" r:id="rId8"/>
    <sheet name="成本构成表" sheetId="39" r:id="rId9"/>
    <sheet name="前10大客户、供应商" sheetId="38" r:id="rId10"/>
    <sheet name="四大费用明细" sheetId="40" r:id="rId11"/>
    <sheet name="减值准备变动表" sheetId="67" r:id="rId12"/>
    <sheet name="营业外收支" sheetId="63" r:id="rId13"/>
    <sheet name="员工薪酬" sheetId="74" r:id="rId14"/>
    <sheet name="货币资金" sheetId="60" r:id="rId15"/>
    <sheet name="应收账款明细" sheetId="41" r:id="rId16"/>
    <sheet name="预付账款明细" sheetId="42" r:id="rId17"/>
    <sheet name="其他应收款" sheetId="43" r:id="rId18"/>
    <sheet name="存货分类" sheetId="56" r:id="rId19"/>
    <sheet name="其他流动资产" sheetId="70" r:id="rId20"/>
    <sheet name="可供出售金融资产" sheetId="64" r:id="rId21"/>
    <sheet name="长期股权投资" sheetId="65" r:id="rId22"/>
    <sheet name="商誉" sheetId="72" r:id="rId23"/>
    <sheet name="固定资产构成表" sheetId="45" r:id="rId24"/>
    <sheet name="在建工程" sheetId="62" r:id="rId25"/>
    <sheet name="无形资产构成" sheetId="47" r:id="rId26"/>
    <sheet name="长期待摊费用" sheetId="77" r:id="rId27"/>
    <sheet name="其他非流动资产" sheetId="71" r:id="rId28"/>
    <sheet name="长短期借款" sheetId="57" r:id="rId29"/>
    <sheet name="应付账款" sheetId="54" r:id="rId30"/>
    <sheet name="预收账款" sheetId="58" r:id="rId31"/>
    <sheet name="其他应付" sheetId="55" r:id="rId32"/>
    <sheet name="其他流动负债" sheetId="68" r:id="rId33"/>
    <sheet name="其他非流动负债" sheetId="69" r:id="rId34"/>
  </sheets>
  <externalReferences>
    <externalReference r:id="rId35"/>
  </externalReferences>
  <definedNames>
    <definedName name="_xlnm._FilterDatabase" localSheetId="10" hidden="1">四大费用明细!$B$20:$E$42</definedName>
    <definedName name="OLE_LINK1" localSheetId="5">合并口径财务报表!#REF!</definedName>
    <definedName name="OLE_LINK2" localSheetId="6">'报告（自动生成）'!#REF!</definedName>
    <definedName name="OLE_LINK5" localSheetId="6">'报告（自动生成）'!#REF!</definedName>
  </definedNames>
  <calcPr calcId="191029" calcMode="manual"/>
</workbook>
</file>

<file path=xl/calcChain.xml><?xml version="1.0" encoding="utf-8"?>
<calcChain xmlns="http://schemas.openxmlformats.org/spreadsheetml/2006/main">
  <c r="E8" i="75" l="1"/>
  <c r="E7" i="75"/>
  <c r="E6" i="75"/>
  <c r="N14" i="38" l="1"/>
  <c r="I14" i="38"/>
  <c r="H12" i="39"/>
  <c r="F12" i="39"/>
  <c r="D12" i="39"/>
  <c r="L11" i="37"/>
  <c r="K11" i="37"/>
  <c r="H11" i="37"/>
  <c r="G11" i="37"/>
  <c r="D11" i="37"/>
  <c r="C11" i="37"/>
  <c r="C30" i="42" l="1"/>
  <c r="C29" i="42"/>
  <c r="D16" i="63" l="1"/>
  <c r="E16" i="63"/>
  <c r="C16" i="63"/>
  <c r="C11" i="76"/>
  <c r="D11" i="76"/>
  <c r="E4" i="56"/>
  <c r="E5" i="56"/>
  <c r="E6" i="56"/>
  <c r="E7" i="56"/>
  <c r="E8" i="56"/>
  <c r="E9" i="56"/>
  <c r="E10" i="56"/>
  <c r="E11" i="56"/>
  <c r="E12" i="56"/>
  <c r="E13" i="56"/>
  <c r="E3" i="56"/>
  <c r="I13" i="61" l="1"/>
  <c r="H13" i="61"/>
  <c r="K1" i="41" l="1"/>
  <c r="E14" i="56" l="1"/>
  <c r="C14" i="56"/>
  <c r="D14" i="56"/>
  <c r="E1" i="56"/>
  <c r="B6" i="60"/>
  <c r="C23" i="57" l="1"/>
  <c r="E11" i="76" l="1"/>
  <c r="G13" i="61" l="1"/>
  <c r="C112" i="55" l="1"/>
  <c r="C279" i="58" l="1"/>
  <c r="C3" i="72" l="1"/>
  <c r="D23" i="42"/>
  <c r="E23" i="42"/>
  <c r="F23" i="42"/>
  <c r="G23" i="42"/>
  <c r="C23" i="42"/>
  <c r="G23" i="41" l="1"/>
  <c r="H23" i="41"/>
  <c r="F23" i="41"/>
  <c r="C17" i="40" l="1"/>
  <c r="E17" i="40"/>
  <c r="D17" i="40"/>
  <c r="M10" i="74" l="1"/>
  <c r="I10" i="74"/>
  <c r="E10" i="74"/>
  <c r="K10" i="74"/>
  <c r="G10" i="74"/>
  <c r="E14" i="38" l="1"/>
  <c r="D14" i="38"/>
  <c r="C290" i="58" l="1"/>
  <c r="C31" i="54"/>
  <c r="C24" i="43"/>
  <c r="C34" i="42"/>
  <c r="C43" i="41"/>
  <c r="J54" i="40"/>
  <c r="I54" i="40"/>
  <c r="H54" i="40"/>
  <c r="C101" i="13" l="1"/>
  <c r="C103" i="13"/>
  <c r="D10" i="74" l="1"/>
  <c r="C10" i="74"/>
  <c r="C7" i="63"/>
  <c r="D7" i="63"/>
  <c r="C64" i="40"/>
  <c r="C54" i="40"/>
  <c r="C39" i="40"/>
  <c r="D15" i="38"/>
  <c r="C12" i="39"/>
  <c r="C133" i="16"/>
  <c r="C126" i="16"/>
  <c r="C120" i="16"/>
  <c r="C50" i="16"/>
  <c r="C47" i="16"/>
  <c r="C43" i="16"/>
  <c r="C39" i="16"/>
  <c r="C35" i="16"/>
  <c r="C29" i="16"/>
  <c r="C2" i="16"/>
  <c r="C2" i="37" s="1"/>
  <c r="C3" i="16"/>
  <c r="C4" i="16"/>
  <c r="C5" i="16"/>
  <c r="C6" i="16"/>
  <c r="C36" i="16" s="1"/>
  <c r="C7" i="16"/>
  <c r="C40" i="16" s="1"/>
  <c r="C8" i="16"/>
  <c r="C44" i="16" s="1"/>
  <c r="C9" i="16"/>
  <c r="C10" i="16"/>
  <c r="C11" i="16"/>
  <c r="C12" i="16"/>
  <c r="C13" i="16"/>
  <c r="C14" i="16"/>
  <c r="C15" i="16"/>
  <c r="C16" i="16"/>
  <c r="C17" i="16"/>
  <c r="C19" i="16"/>
  <c r="C20" i="16"/>
  <c r="C17" i="63" s="1"/>
  <c r="C22" i="16"/>
  <c r="C24" i="16"/>
  <c r="C51" i="16"/>
  <c r="C52" i="16"/>
  <c r="C53" i="16"/>
  <c r="C54" i="16"/>
  <c r="C55" i="16"/>
  <c r="C56" i="16"/>
  <c r="C57" i="16"/>
  <c r="C58" i="16"/>
  <c r="E15" i="56" s="1"/>
  <c r="C59" i="16"/>
  <c r="C60" i="16"/>
  <c r="C61" i="16"/>
  <c r="C63" i="16"/>
  <c r="C64" i="16"/>
  <c r="C65" i="16"/>
  <c r="C66" i="16"/>
  <c r="C67" i="16"/>
  <c r="C68" i="16"/>
  <c r="C69" i="16"/>
  <c r="C70" i="16"/>
  <c r="C71" i="16"/>
  <c r="C72" i="16"/>
  <c r="C73" i="16"/>
  <c r="C74" i="16"/>
  <c r="C75" i="16"/>
  <c r="C76" i="16"/>
  <c r="C77" i="16"/>
  <c r="C80" i="16"/>
  <c r="C81" i="16"/>
  <c r="C82" i="16"/>
  <c r="C83" i="16"/>
  <c r="C84" i="16"/>
  <c r="C129" i="16" s="1"/>
  <c r="C85" i="16"/>
  <c r="C86" i="16"/>
  <c r="C87" i="16"/>
  <c r="C88" i="16"/>
  <c r="C89" i="16"/>
  <c r="C90" i="16"/>
  <c r="C91" i="16"/>
  <c r="C93" i="16"/>
  <c r="C24" i="57" s="1"/>
  <c r="C94" i="16"/>
  <c r="C95" i="16"/>
  <c r="C96" i="16"/>
  <c r="C97" i="16"/>
  <c r="C98" i="16"/>
  <c r="C99" i="16"/>
  <c r="C100" i="16"/>
  <c r="C101" i="16"/>
  <c r="C104" i="16"/>
  <c r="C105" i="16"/>
  <c r="C106" i="16"/>
  <c r="C107" i="16"/>
  <c r="C108" i="16"/>
  <c r="C109" i="16"/>
  <c r="C110" i="16"/>
  <c r="C111" i="16"/>
  <c r="C112" i="16"/>
  <c r="C113" i="16"/>
  <c r="C114" i="16"/>
  <c r="C134" i="16"/>
  <c r="C135" i="16"/>
  <c r="C136" i="16"/>
  <c r="C108" i="13"/>
  <c r="C98" i="13"/>
  <c r="C94" i="13"/>
  <c r="C81" i="13"/>
  <c r="C57" i="13"/>
  <c r="E18" i="13"/>
  <c r="E21" i="13" s="1"/>
  <c r="E23" i="13" s="1"/>
  <c r="E25" i="13" s="1"/>
  <c r="D18" i="13"/>
  <c r="D21" i="13" s="1"/>
  <c r="D23" i="13" s="1"/>
  <c r="D25" i="13" s="1"/>
  <c r="C18" i="13"/>
  <c r="C21" i="13" s="1"/>
  <c r="C23" i="13" s="1"/>
  <c r="C17" i="73"/>
  <c r="D28" i="37"/>
  <c r="C28" i="37"/>
  <c r="C8" i="63" l="1"/>
  <c r="C127" i="16"/>
  <c r="F127" i="16" s="1"/>
  <c r="F10" i="74"/>
  <c r="C128" i="16"/>
  <c r="F128" i="16" s="1"/>
  <c r="C130" i="16"/>
  <c r="F130" i="16" s="1"/>
  <c r="F129" i="16"/>
  <c r="C102" i="16"/>
  <c r="C92" i="16"/>
  <c r="C45" i="16"/>
  <c r="C78" i="16"/>
  <c r="C62" i="16"/>
  <c r="C41" i="16"/>
  <c r="C30" i="16"/>
  <c r="C25" i="13"/>
  <c r="C100" i="13"/>
  <c r="C104" i="13" s="1"/>
  <c r="C105" i="13" s="1"/>
  <c r="C40" i="40"/>
  <c r="C115" i="16"/>
  <c r="C32" i="37"/>
  <c r="C2" i="74"/>
  <c r="C2" i="38"/>
  <c r="C21" i="38"/>
  <c r="C10" i="63"/>
  <c r="C2" i="40"/>
  <c r="C2" i="39"/>
  <c r="C2" i="63"/>
  <c r="C95" i="13"/>
  <c r="C96" i="13" s="1"/>
  <c r="C116" i="16"/>
  <c r="C48" i="16"/>
  <c r="C18" i="16"/>
  <c r="C21" i="16" s="1"/>
  <c r="C23" i="16" s="1"/>
  <c r="C18" i="40"/>
  <c r="C55" i="40"/>
  <c r="C117" i="16"/>
  <c r="C37" i="16"/>
  <c r="C65" i="40"/>
  <c r="C26" i="16"/>
  <c r="C14" i="37"/>
  <c r="B84" i="16"/>
  <c r="D84" i="16"/>
  <c r="E84" i="16"/>
  <c r="B55" i="16"/>
  <c r="D55" i="16"/>
  <c r="E55" i="16"/>
  <c r="D103" i="13"/>
  <c r="C122" i="16" l="1"/>
  <c r="C103" i="16"/>
  <c r="C79" i="16"/>
  <c r="C121" i="16"/>
  <c r="C123" i="16"/>
  <c r="C31" i="16"/>
  <c r="C42" i="40"/>
  <c r="H42" i="40" s="1"/>
  <c r="C20" i="40"/>
  <c r="C57" i="40"/>
  <c r="C32" i="16"/>
  <c r="C33" i="16"/>
  <c r="C25" i="16"/>
  <c r="C27" i="16"/>
  <c r="C131" i="16" l="1"/>
  <c r="F131" i="16" s="1"/>
  <c r="C124" i="16"/>
  <c r="C118" i="16"/>
  <c r="D7" i="77"/>
  <c r="C7" i="77"/>
  <c r="E6" i="77"/>
  <c r="E5" i="77"/>
  <c r="E4" i="77"/>
  <c r="E3" i="77"/>
  <c r="E7" i="77" l="1"/>
  <c r="E31" i="41" l="1"/>
  <c r="E32" i="41"/>
  <c r="F5" i="47" l="1"/>
  <c r="F6" i="47"/>
  <c r="E28" i="41"/>
  <c r="E29" i="41"/>
  <c r="E30" i="41"/>
  <c r="E27" i="41"/>
  <c r="E64" i="40"/>
  <c r="D64" i="40"/>
  <c r="D54" i="40"/>
  <c r="E39" i="40"/>
  <c r="D39" i="40"/>
  <c r="E33" i="41" l="1"/>
  <c r="I15" i="38"/>
  <c r="E43" i="16"/>
  <c r="D43" i="16"/>
  <c r="D81" i="13"/>
  <c r="D104" i="16" l="1"/>
  <c r="D105" i="16"/>
  <c r="D106" i="16"/>
  <c r="D107" i="16"/>
  <c r="D108" i="16"/>
  <c r="D109" i="16"/>
  <c r="D110" i="16"/>
  <c r="D111" i="16"/>
  <c r="D112" i="16"/>
  <c r="D113" i="16"/>
  <c r="D114" i="16"/>
  <c r="E105" i="16"/>
  <c r="E106" i="16"/>
  <c r="E107" i="16"/>
  <c r="E108" i="16"/>
  <c r="E109" i="16"/>
  <c r="E110" i="16"/>
  <c r="E111" i="16"/>
  <c r="E112" i="16"/>
  <c r="E113" i="16"/>
  <c r="E114" i="16"/>
  <c r="E104" i="16"/>
  <c r="B113" i="16"/>
  <c r="B114" i="16"/>
  <c r="B115" i="16"/>
  <c r="B112" i="16"/>
  <c r="B109" i="16"/>
  <c r="B110" i="16"/>
  <c r="B111" i="16"/>
  <c r="B105" i="16"/>
  <c r="B106" i="16"/>
  <c r="B107" i="16"/>
  <c r="B108" i="16"/>
  <c r="B104" i="16"/>
  <c r="D80" i="16"/>
  <c r="D81" i="16"/>
  <c r="D82" i="16"/>
  <c r="D83" i="16"/>
  <c r="D85" i="16"/>
  <c r="D86" i="16"/>
  <c r="D87" i="16"/>
  <c r="D88" i="16"/>
  <c r="D89" i="16"/>
  <c r="D90" i="16"/>
  <c r="D91" i="16"/>
  <c r="D93" i="16"/>
  <c r="D94" i="16"/>
  <c r="D95" i="16"/>
  <c r="D96" i="16"/>
  <c r="D97" i="16"/>
  <c r="D98" i="16"/>
  <c r="D99" i="16"/>
  <c r="D100" i="16"/>
  <c r="D101" i="16"/>
  <c r="E101" i="16"/>
  <c r="E81" i="16"/>
  <c r="E82" i="16"/>
  <c r="E83" i="16"/>
  <c r="E85" i="16"/>
  <c r="E86" i="16"/>
  <c r="E87" i="16"/>
  <c r="E89" i="16"/>
  <c r="E90" i="16"/>
  <c r="E91" i="16"/>
  <c r="E93" i="16"/>
  <c r="E94" i="16"/>
  <c r="E95" i="16"/>
  <c r="E96" i="16"/>
  <c r="E97" i="16"/>
  <c r="E98" i="16"/>
  <c r="E99" i="16"/>
  <c r="E100" i="16"/>
  <c r="E80" i="16"/>
  <c r="B99" i="16"/>
  <c r="B100" i="16"/>
  <c r="B101" i="16"/>
  <c r="B103" i="16"/>
  <c r="B80" i="16"/>
  <c r="B81" i="16"/>
  <c r="B82" i="16"/>
  <c r="B83" i="16"/>
  <c r="B85" i="16"/>
  <c r="B86" i="16"/>
  <c r="B87" i="16"/>
  <c r="B88" i="16"/>
  <c r="B89" i="16"/>
  <c r="B90" i="16"/>
  <c r="B91" i="16"/>
  <c r="B93" i="16"/>
  <c r="B94" i="16"/>
  <c r="B95" i="16"/>
  <c r="B96" i="16"/>
  <c r="B97" i="16"/>
  <c r="B98" i="16"/>
  <c r="B79" i="16"/>
  <c r="D51" i="16"/>
  <c r="D52" i="16"/>
  <c r="D53" i="16"/>
  <c r="D54" i="16"/>
  <c r="D56" i="16"/>
  <c r="D57" i="16"/>
  <c r="D58" i="16"/>
  <c r="D59" i="16"/>
  <c r="D60" i="16"/>
  <c r="D61" i="16"/>
  <c r="D63" i="16"/>
  <c r="D64" i="16"/>
  <c r="D65" i="16"/>
  <c r="D66" i="16"/>
  <c r="D67" i="16"/>
  <c r="D68" i="16"/>
  <c r="D69" i="16"/>
  <c r="D70" i="16"/>
  <c r="D71" i="16"/>
  <c r="D72" i="16"/>
  <c r="D73" i="16"/>
  <c r="D74" i="16"/>
  <c r="D75" i="16"/>
  <c r="E8" i="77" s="1"/>
  <c r="D76" i="16"/>
  <c r="D77" i="16"/>
  <c r="E52" i="16"/>
  <c r="E53" i="16"/>
  <c r="E54" i="16"/>
  <c r="E56" i="16"/>
  <c r="E57" i="16"/>
  <c r="E58" i="16"/>
  <c r="E59" i="16"/>
  <c r="E60" i="16"/>
  <c r="E61" i="16"/>
  <c r="E63" i="16"/>
  <c r="E64" i="16"/>
  <c r="E65" i="16"/>
  <c r="E66" i="16"/>
  <c r="E67" i="16"/>
  <c r="E68" i="16"/>
  <c r="E69" i="16"/>
  <c r="E70" i="16"/>
  <c r="E71" i="16"/>
  <c r="E72" i="16"/>
  <c r="E73" i="16"/>
  <c r="E74" i="16"/>
  <c r="E75" i="16"/>
  <c r="E76" i="16"/>
  <c r="E77" i="16"/>
  <c r="B68" i="16"/>
  <c r="B69" i="16"/>
  <c r="B70" i="16"/>
  <c r="B71" i="16"/>
  <c r="B72" i="16"/>
  <c r="B73" i="16"/>
  <c r="B74" i="16"/>
  <c r="B75" i="16"/>
  <c r="B76" i="16"/>
  <c r="B77" i="16"/>
  <c r="B52" i="16"/>
  <c r="B53" i="16"/>
  <c r="B54" i="16"/>
  <c r="B56" i="16"/>
  <c r="B57" i="16"/>
  <c r="B58" i="16"/>
  <c r="B59" i="16"/>
  <c r="B60" i="16"/>
  <c r="B61" i="16"/>
  <c r="B63" i="16"/>
  <c r="B64" i="16"/>
  <c r="B65" i="16"/>
  <c r="B66" i="16"/>
  <c r="B67" i="16"/>
  <c r="B51" i="16"/>
  <c r="E3" i="16"/>
  <c r="E127" i="16" s="1"/>
  <c r="E4" i="16"/>
  <c r="E129" i="16" s="1"/>
  <c r="E5" i="16"/>
  <c r="E6" i="16"/>
  <c r="E18" i="40" s="1"/>
  <c r="E7" i="16"/>
  <c r="E40" i="40" s="1"/>
  <c r="E8" i="16"/>
  <c r="E9" i="16"/>
  <c r="E65" i="40" s="1"/>
  <c r="E10" i="16"/>
  <c r="E11" i="16"/>
  <c r="E12" i="16"/>
  <c r="E13" i="16"/>
  <c r="E14" i="16"/>
  <c r="E15" i="16"/>
  <c r="E16" i="16"/>
  <c r="E17" i="16"/>
  <c r="D10" i="16"/>
  <c r="D11" i="16"/>
  <c r="D12" i="16"/>
  <c r="D13" i="16"/>
  <c r="D14" i="16"/>
  <c r="D15" i="16"/>
  <c r="D16" i="16"/>
  <c r="D17" i="16"/>
  <c r="B24" i="16"/>
  <c r="B25" i="16"/>
  <c r="B18" i="16"/>
  <c r="B19" i="16"/>
  <c r="B20" i="16"/>
  <c r="B21" i="16"/>
  <c r="B22" i="16"/>
  <c r="B23" i="16"/>
  <c r="B17" i="16"/>
  <c r="B12" i="16"/>
  <c r="B13" i="16"/>
  <c r="B14" i="16"/>
  <c r="B15" i="16"/>
  <c r="B16" i="16"/>
  <c r="D4" i="16"/>
  <c r="D129" i="16" s="1"/>
  <c r="D5" i="16"/>
  <c r="D6" i="16"/>
  <c r="D7" i="16"/>
  <c r="D8" i="16"/>
  <c r="D44" i="16" s="1"/>
  <c r="D9" i="16"/>
  <c r="D65" i="40" s="1"/>
  <c r="B4" i="16"/>
  <c r="B5" i="16"/>
  <c r="B6" i="16"/>
  <c r="B7" i="16"/>
  <c r="B8" i="16"/>
  <c r="B9" i="16"/>
  <c r="B10" i="16"/>
  <c r="B11" i="16"/>
  <c r="B3" i="16"/>
  <c r="D99" i="13"/>
  <c r="D94" i="13"/>
  <c r="E94" i="13"/>
  <c r="E81" i="13"/>
  <c r="E88" i="16"/>
  <c r="D57" i="13"/>
  <c r="F104" i="16" l="1"/>
  <c r="E102" i="16"/>
  <c r="D102" i="16"/>
  <c r="D92" i="16"/>
  <c r="E92" i="16"/>
  <c r="E78" i="16"/>
  <c r="D78" i="16"/>
  <c r="D62" i="16"/>
  <c r="D128" i="16"/>
  <c r="G128" i="16" s="1"/>
  <c r="G129" i="16"/>
  <c r="D18" i="40"/>
  <c r="D36" i="16"/>
  <c r="D40" i="40"/>
  <c r="D40" i="16"/>
  <c r="G104" i="16"/>
  <c r="D55" i="40"/>
  <c r="E44" i="16"/>
  <c r="E45" i="16"/>
  <c r="E48" i="16"/>
  <c r="E128" i="16"/>
  <c r="H128" i="16" s="1"/>
  <c r="H129" i="16"/>
  <c r="D116" i="16"/>
  <c r="D117" i="16"/>
  <c r="E115" i="16"/>
  <c r="D115" i="16"/>
  <c r="E117" i="16"/>
  <c r="E130" i="16"/>
  <c r="H130" i="16" s="1"/>
  <c r="H127" i="16"/>
  <c r="E18" i="16"/>
  <c r="E24" i="16"/>
  <c r="D24" i="16"/>
  <c r="E19" i="16"/>
  <c r="E20" i="16"/>
  <c r="E22" i="16"/>
  <c r="D122" i="16" l="1"/>
  <c r="E103" i="16"/>
  <c r="D103" i="16"/>
  <c r="D79" i="16"/>
  <c r="E21" i="16"/>
  <c r="E23" i="16" s="1"/>
  <c r="E25" i="16" s="1"/>
  <c r="E27" i="16" l="1"/>
  <c r="L10" i="74"/>
  <c r="N10" i="74" s="1"/>
  <c r="C13" i="69"/>
  <c r="C13" i="68"/>
  <c r="C13" i="71"/>
  <c r="C13" i="72"/>
  <c r="C13" i="70"/>
  <c r="C14" i="70" s="1"/>
  <c r="G17" i="73"/>
  <c r="E17" i="73"/>
  <c r="H10" i="74" l="1"/>
  <c r="J10" i="74" s="1"/>
  <c r="C13" i="65"/>
  <c r="C13" i="64"/>
  <c r="K2" i="37" l="1"/>
  <c r="G2" i="37"/>
  <c r="E133" i="16"/>
  <c r="D133" i="16"/>
  <c r="E126" i="16"/>
  <c r="D126" i="16"/>
  <c r="E120" i="16"/>
  <c r="D120" i="16"/>
  <c r="E50" i="16"/>
  <c r="D50" i="16"/>
  <c r="E47" i="16"/>
  <c r="D47" i="16"/>
  <c r="E39" i="16"/>
  <c r="D39" i="16"/>
  <c r="E35" i="16"/>
  <c r="D35" i="16"/>
  <c r="E29" i="16"/>
  <c r="D29" i="16"/>
  <c r="E2" i="16"/>
  <c r="D2" i="16"/>
  <c r="D98" i="13"/>
  <c r="D108" i="13"/>
  <c r="M2" i="38" l="1"/>
  <c r="M21" i="38"/>
  <c r="E2" i="63"/>
  <c r="K2" i="74"/>
  <c r="G2" i="74"/>
  <c r="D2" i="63"/>
  <c r="K28" i="37"/>
  <c r="D10" i="63" l="1"/>
  <c r="D2" i="40"/>
  <c r="D57" i="40" s="1"/>
  <c r="E2" i="39"/>
  <c r="E12" i="39"/>
  <c r="H21" i="38"/>
  <c r="H2" i="38"/>
  <c r="H28" i="37"/>
  <c r="G28" i="37"/>
  <c r="G14" i="37"/>
  <c r="G32" i="37"/>
  <c r="D134" i="16"/>
  <c r="D135" i="16"/>
  <c r="D136" i="16"/>
  <c r="D3" i="16"/>
  <c r="D127" i="16" s="1"/>
  <c r="D19" i="16"/>
  <c r="D20" i="16"/>
  <c r="D22" i="16"/>
  <c r="D101" i="13"/>
  <c r="E1" i="77" l="1"/>
  <c r="F19" i="57"/>
  <c r="D130" i="16"/>
  <c r="G130" i="16" s="1"/>
  <c r="G127" i="16"/>
  <c r="D131" i="16"/>
  <c r="G131" i="16" s="1"/>
  <c r="D48" i="16"/>
  <c r="D45" i="16"/>
  <c r="D18" i="16"/>
  <c r="D21" i="16" s="1"/>
  <c r="D23" i="16" s="1"/>
  <c r="F1" i="70"/>
  <c r="E1" i="68"/>
  <c r="F1" i="71"/>
  <c r="F1" i="72"/>
  <c r="E1" i="69"/>
  <c r="F1" i="65"/>
  <c r="E1" i="64"/>
  <c r="D41" i="16"/>
  <c r="D26" i="16"/>
  <c r="D95" i="13"/>
  <c r="D96" i="13" s="1"/>
  <c r="D20" i="40"/>
  <c r="D42" i="40"/>
  <c r="I42" i="40" s="1"/>
  <c r="D30" i="16"/>
  <c r="D100" i="13"/>
  <c r="D37" i="16"/>
  <c r="D123" i="16"/>
  <c r="D104" i="13" l="1"/>
  <c r="D105" i="13" s="1"/>
  <c r="D32" i="16"/>
  <c r="D25" i="16"/>
  <c r="D31" i="16"/>
  <c r="D33" i="16"/>
  <c r="D27" i="16"/>
  <c r="D118" i="16"/>
  <c r="D124" i="16"/>
  <c r="D121" i="16"/>
  <c r="E7" i="63" l="1"/>
  <c r="E10" i="63"/>
  <c r="F8" i="62" l="1"/>
  <c r="E8" i="62"/>
  <c r="D8" i="62"/>
  <c r="C8" i="62"/>
  <c r="F1" i="62"/>
  <c r="E54" i="40" l="1"/>
  <c r="E55" i="40" s="1"/>
  <c r="E1" i="55" l="1"/>
  <c r="C1" i="58"/>
  <c r="E1" i="54"/>
  <c r="F1" i="57"/>
  <c r="F1" i="47"/>
  <c r="E1" i="43"/>
  <c r="D1" i="42"/>
  <c r="E2" i="40"/>
  <c r="G2" i="39"/>
  <c r="K14" i="37"/>
  <c r="K32" i="37"/>
  <c r="E57" i="40" l="1"/>
  <c r="E42" i="40"/>
  <c r="J42" i="40" s="1"/>
  <c r="E20" i="40"/>
  <c r="E51" i="16" l="1"/>
  <c r="E62" i="16" s="1"/>
  <c r="E79" i="16" s="1"/>
  <c r="E36" i="16"/>
  <c r="E40" i="16"/>
  <c r="C21" i="54"/>
  <c r="D13" i="54"/>
  <c r="C16" i="57"/>
  <c r="C17" i="57" s="1"/>
  <c r="F7" i="47"/>
  <c r="F8" i="47" s="1"/>
  <c r="E7" i="47"/>
  <c r="D7" i="47"/>
  <c r="E8" i="45"/>
  <c r="D8" i="45"/>
  <c r="C8" i="45"/>
  <c r="C13" i="43"/>
  <c r="C33" i="41"/>
  <c r="D23" i="41"/>
  <c r="E22" i="41" s="1"/>
  <c r="G12" i="39"/>
  <c r="L28" i="37"/>
  <c r="E136" i="16"/>
  <c r="E135" i="16"/>
  <c r="E134" i="16"/>
  <c r="E57" i="13"/>
  <c r="F8" i="45" l="1"/>
  <c r="F9" i="45" s="1"/>
  <c r="E5" i="41"/>
  <c r="E9" i="41"/>
  <c r="E13" i="41"/>
  <c r="E17" i="41"/>
  <c r="E21" i="41"/>
  <c r="E6" i="41"/>
  <c r="E14" i="41"/>
  <c r="E18" i="41"/>
  <c r="E3" i="41"/>
  <c r="E12" i="41"/>
  <c r="E20" i="41"/>
  <c r="E10" i="41"/>
  <c r="E7" i="41"/>
  <c r="E11" i="41"/>
  <c r="E15" i="41"/>
  <c r="E19" i="41"/>
  <c r="E4" i="41"/>
  <c r="E8" i="41"/>
  <c r="E16" i="41"/>
  <c r="E116" i="16"/>
  <c r="E122" i="16" s="1"/>
  <c r="E131" i="16"/>
  <c r="H131" i="16" s="1"/>
  <c r="K29" i="37"/>
  <c r="E26" i="16"/>
  <c r="E95" i="13"/>
  <c r="E96" i="13" s="1"/>
  <c r="E30" i="16"/>
  <c r="E41" i="16"/>
  <c r="E31" i="16"/>
  <c r="E123" i="16"/>
  <c r="E37" i="16"/>
  <c r="E23" i="41" l="1"/>
  <c r="E118" i="16"/>
  <c r="E124" i="16"/>
  <c r="E121" i="16"/>
  <c r="E32" i="16" l="1"/>
  <c r="E33" i="16"/>
  <c r="E108"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Xue Erbai</author>
  </authors>
  <commentList>
    <comment ref="B2" authorId="0" shapeId="0" xr:uid="{00000000-0006-0000-0800-000001000000}">
      <text>
        <r>
          <rPr>
            <sz val="9"/>
            <color indexed="81"/>
            <rFont val="宋体"/>
            <family val="3"/>
            <charset val="134"/>
          </rPr>
          <t>按照料工费等明细填写，如有特殊性，请沟通确认</t>
        </r>
      </text>
    </comment>
  </commentList>
</comments>
</file>

<file path=xl/sharedStrings.xml><?xml version="1.0" encoding="utf-8"?>
<sst xmlns="http://schemas.openxmlformats.org/spreadsheetml/2006/main" count="1625" uniqueCount="1060">
  <si>
    <t>流动资产：</t>
  </si>
  <si>
    <t>流动负债：</t>
  </si>
  <si>
    <t xml:space="preserve">负债和所有者权益总计 </t>
  </si>
  <si>
    <t>项目</t>
  </si>
  <si>
    <t>经营现金流</t>
  </si>
  <si>
    <t>投资现金流</t>
  </si>
  <si>
    <t>筹资现金流</t>
  </si>
  <si>
    <t>项 目</t>
  </si>
  <si>
    <t>毛利率</t>
  </si>
  <si>
    <t>营业利润率</t>
  </si>
  <si>
    <t>净利润率</t>
  </si>
  <si>
    <t>年化净资产收益率</t>
  </si>
  <si>
    <t>管理费用月平均值</t>
  </si>
  <si>
    <t>管理费用/收入</t>
  </si>
  <si>
    <t>流动资产</t>
  </si>
  <si>
    <t>流动负债</t>
  </si>
  <si>
    <t>流动比率</t>
  </si>
  <si>
    <t>速动比率</t>
  </si>
  <si>
    <t>现金比率</t>
  </si>
  <si>
    <t>资产负债率</t>
  </si>
  <si>
    <t>应收账款周转率</t>
  </si>
  <si>
    <t>存货周转率</t>
  </si>
  <si>
    <t>固定资产周转率</t>
  </si>
  <si>
    <t>总资产周转率</t>
  </si>
  <si>
    <t xml:space="preserve"> 收入类型 </t>
  </si>
  <si>
    <t xml:space="preserve"> 销售额 </t>
  </si>
  <si>
    <t>成本</t>
  </si>
  <si>
    <t>比例</t>
  </si>
  <si>
    <t>合计</t>
  </si>
  <si>
    <t>地区</t>
  </si>
  <si>
    <t>1月</t>
  </si>
  <si>
    <t>2月</t>
  </si>
  <si>
    <t>3月</t>
  </si>
  <si>
    <t>4月</t>
  </si>
  <si>
    <t>5月</t>
  </si>
  <si>
    <t>6月</t>
  </si>
  <si>
    <t>7月</t>
  </si>
  <si>
    <t>8月</t>
  </si>
  <si>
    <t>9月</t>
  </si>
  <si>
    <t>10月</t>
  </si>
  <si>
    <t>11月</t>
  </si>
  <si>
    <t>12月</t>
  </si>
  <si>
    <t>序号</t>
  </si>
  <si>
    <t>客户名称</t>
  </si>
  <si>
    <t>金额</t>
  </si>
  <si>
    <t>-</t>
  </si>
  <si>
    <t>小计</t>
  </si>
  <si>
    <t>供货商名称</t>
  </si>
  <si>
    <t>账龄</t>
  </si>
  <si>
    <t>计提坏账</t>
  </si>
  <si>
    <t>净额</t>
  </si>
  <si>
    <t>1年内</t>
  </si>
  <si>
    <t>1-2年</t>
  </si>
  <si>
    <t>2-3年</t>
  </si>
  <si>
    <t>3-4年</t>
  </si>
  <si>
    <t>4-5年</t>
  </si>
  <si>
    <t>5年以上</t>
  </si>
  <si>
    <t>性质</t>
  </si>
  <si>
    <t>存货分类明细</t>
  </si>
  <si>
    <t>减值</t>
  </si>
  <si>
    <t>净值</t>
  </si>
  <si>
    <t>在产品</t>
  </si>
  <si>
    <t>原材料</t>
  </si>
  <si>
    <t>库存商品</t>
  </si>
  <si>
    <t>备品备件</t>
  </si>
  <si>
    <t>在途商品</t>
  </si>
  <si>
    <t>发出商品</t>
  </si>
  <si>
    <t>固定资产明细表</t>
  </si>
  <si>
    <t>类型</t>
  </si>
  <si>
    <t>原值</t>
  </si>
  <si>
    <t>累计折旧</t>
  </si>
  <si>
    <t>无形资产构成</t>
  </si>
  <si>
    <t>取得方式</t>
  </si>
  <si>
    <t>原始金额</t>
  </si>
  <si>
    <t>累计摊销</t>
  </si>
  <si>
    <t>短期借款明细</t>
  </si>
  <si>
    <t>贷款银行</t>
  </si>
  <si>
    <t>贷款金额</t>
  </si>
  <si>
    <t>前10大应付账款明细表</t>
  </si>
  <si>
    <t>应付账款账龄表</t>
  </si>
  <si>
    <t>3年以上</t>
  </si>
  <si>
    <t>预收账款明细</t>
  </si>
  <si>
    <t>其他应付款明细</t>
  </si>
  <si>
    <t>项目</t>
    <phoneticPr fontId="6" type="noConversion"/>
  </si>
  <si>
    <t>资产</t>
    <phoneticPr fontId="6" type="noConversion"/>
  </si>
  <si>
    <t>营业收入</t>
    <phoneticPr fontId="6" type="noConversion"/>
  </si>
  <si>
    <t>应付账款周转率</t>
    <phoneticPr fontId="6" type="noConversion"/>
  </si>
  <si>
    <t>销售收入总金额</t>
    <phoneticPr fontId="6" type="noConversion"/>
  </si>
  <si>
    <t>采购去税总金额</t>
    <phoneticPr fontId="6" type="noConversion"/>
  </si>
  <si>
    <t>应收账款账龄表</t>
    <phoneticPr fontId="6" type="noConversion"/>
  </si>
  <si>
    <t>账龄</t>
    <phoneticPr fontId="6" type="noConversion"/>
  </si>
  <si>
    <t>跌价准备</t>
    <phoneticPr fontId="6" type="noConversion"/>
  </si>
  <si>
    <t>起止日期</t>
    <phoneticPr fontId="6" type="noConversion"/>
  </si>
  <si>
    <t>供应商名称</t>
    <phoneticPr fontId="6" type="noConversion"/>
  </si>
  <si>
    <t>贵公司合同清单，包括合同主要条款。（并且准备好原始文件以备核数人员在现场查验）</t>
    <phoneticPr fontId="6" type="noConversion"/>
  </si>
  <si>
    <t>合并层面销售费用明细表</t>
    <phoneticPr fontId="6" type="noConversion"/>
  </si>
  <si>
    <t>合并层面管理费用明细表</t>
    <phoneticPr fontId="6" type="noConversion"/>
  </si>
  <si>
    <t>持股比例</t>
  </si>
  <si>
    <t>纳入合并范围时间</t>
  </si>
  <si>
    <t>是否为同一控制下合并</t>
    <phoneticPr fontId="6" type="noConversion"/>
  </si>
  <si>
    <t>实际业务概括</t>
    <phoneticPr fontId="6" type="noConversion"/>
  </si>
  <si>
    <t>在建工程明细表</t>
    <phoneticPr fontId="6" type="noConversion"/>
  </si>
  <si>
    <t>新增金额</t>
    <phoneticPr fontId="6" type="noConversion"/>
  </si>
  <si>
    <t>转固金额</t>
    <phoneticPr fontId="6" type="noConversion"/>
  </si>
  <si>
    <t>期末余额</t>
    <phoneticPr fontId="6" type="noConversion"/>
  </si>
  <si>
    <t>期初余额</t>
    <phoneticPr fontId="6" type="noConversion"/>
  </si>
  <si>
    <t>合并层面营业外收入明细表</t>
    <phoneticPr fontId="6" type="noConversion"/>
  </si>
  <si>
    <t>合并层面营业外支出明细表</t>
    <phoneticPr fontId="6" type="noConversion"/>
  </si>
  <si>
    <t>可供出售金融资产</t>
    <phoneticPr fontId="6" type="noConversion"/>
  </si>
  <si>
    <t>本年利润</t>
    <phoneticPr fontId="6" type="noConversion"/>
  </si>
  <si>
    <t>本年分红</t>
    <phoneticPr fontId="6" type="noConversion"/>
  </si>
  <si>
    <t>差异</t>
    <phoneticPr fontId="6" type="noConversion"/>
  </si>
  <si>
    <t>归属少数股东的净利润</t>
    <phoneticPr fontId="6" type="noConversion"/>
  </si>
  <si>
    <t>归属于母公司的净利润</t>
    <phoneticPr fontId="6" type="noConversion"/>
  </si>
  <si>
    <t>归属少数股东的利润</t>
    <phoneticPr fontId="6" type="noConversion"/>
  </si>
  <si>
    <t>非流动负债：</t>
    <phoneticPr fontId="6" type="noConversion"/>
  </si>
  <si>
    <t>所有者权益：</t>
    <phoneticPr fontId="6" type="noConversion"/>
  </si>
  <si>
    <t>利率</t>
    <phoneticPr fontId="6" type="noConversion"/>
  </si>
  <si>
    <t xml:space="preserve"> 销售额 </t>
    <phoneticPr fontId="6" type="noConversion"/>
  </si>
  <si>
    <t>贵公司母子公司最近一期末月的所有银行活期账户、定存账户、理财户对账单（纸质敲公章件）；</t>
    <phoneticPr fontId="6" type="noConversion"/>
  </si>
  <si>
    <t>母、子公司名</t>
    <phoneticPr fontId="6" type="noConversion"/>
  </si>
  <si>
    <t>投资对象</t>
    <phoneticPr fontId="6" type="noConversion"/>
  </si>
  <si>
    <t>占股比例</t>
    <phoneticPr fontId="6" type="noConversion"/>
  </si>
  <si>
    <t>长期股权投资</t>
    <phoneticPr fontId="6" type="noConversion"/>
  </si>
  <si>
    <t>投资时间</t>
    <phoneticPr fontId="6" type="noConversion"/>
  </si>
  <si>
    <t>减值准备表</t>
    <phoneticPr fontId="6" type="noConversion"/>
  </si>
  <si>
    <t>应收账款坏账准备</t>
    <phoneticPr fontId="6" type="noConversion"/>
  </si>
  <si>
    <t>其他应收坏账准备</t>
    <phoneticPr fontId="6" type="noConversion"/>
  </si>
  <si>
    <t>存货跌价准备</t>
    <phoneticPr fontId="6" type="noConversion"/>
  </si>
  <si>
    <t>固定资产减值准备</t>
    <phoneticPr fontId="6" type="noConversion"/>
  </si>
  <si>
    <t>无形资产减值准备</t>
    <phoneticPr fontId="6" type="noConversion"/>
  </si>
  <si>
    <t>短期投资跌价准备</t>
    <phoneticPr fontId="6" type="noConversion"/>
  </si>
  <si>
    <t>可供出售金融资产减值准备</t>
    <phoneticPr fontId="6" type="noConversion"/>
  </si>
  <si>
    <t>持有至到期投资减值准备</t>
    <phoneticPr fontId="6" type="noConversion"/>
  </si>
  <si>
    <t>长期股权投资减值准备</t>
    <phoneticPr fontId="6" type="noConversion"/>
  </si>
  <si>
    <t>长期债权投资减值准备</t>
    <phoneticPr fontId="6" type="noConversion"/>
  </si>
  <si>
    <t>投资性房地产减值准备</t>
    <phoneticPr fontId="6" type="noConversion"/>
  </si>
  <si>
    <t>工程物资减值准备</t>
    <phoneticPr fontId="6" type="noConversion"/>
  </si>
  <si>
    <t>在建工程减值准备</t>
    <phoneticPr fontId="6" type="noConversion"/>
  </si>
  <si>
    <t>生产性生物资产减值准备</t>
    <phoneticPr fontId="6" type="noConversion"/>
  </si>
  <si>
    <t>油气资产减值准备</t>
    <phoneticPr fontId="6" type="noConversion"/>
  </si>
  <si>
    <t>商誉减值准备</t>
    <phoneticPr fontId="6" type="noConversion"/>
  </si>
  <si>
    <t>其他减值准备</t>
    <phoneticPr fontId="6" type="noConversion"/>
  </si>
  <si>
    <t>合计</t>
    <phoneticPr fontId="6" type="noConversion"/>
  </si>
  <si>
    <t>金额（不含税）</t>
  </si>
  <si>
    <t>月份</t>
    <phoneticPr fontId="6" type="noConversion"/>
  </si>
  <si>
    <t>项目</t>
    <phoneticPr fontId="15" type="noConversion"/>
  </si>
  <si>
    <t>关联方名称</t>
    <phoneticPr fontId="6" type="noConversion"/>
  </si>
  <si>
    <t>交易内容</t>
    <phoneticPr fontId="6" type="noConversion"/>
  </si>
  <si>
    <t>当年累计交易额</t>
    <phoneticPr fontId="6" type="noConversion"/>
  </si>
  <si>
    <t>不含税</t>
    <phoneticPr fontId="6" type="noConversion"/>
  </si>
  <si>
    <t>往来科目</t>
    <phoneticPr fontId="6" type="noConversion"/>
  </si>
  <si>
    <t>期末金额</t>
    <phoneticPr fontId="6" type="noConversion"/>
  </si>
  <si>
    <t>项目</t>
    <phoneticPr fontId="6" type="noConversion"/>
  </si>
  <si>
    <t>其他流动资产明细</t>
    <phoneticPr fontId="6" type="noConversion"/>
  </si>
  <si>
    <t>商誉明细</t>
    <phoneticPr fontId="6" type="noConversion"/>
  </si>
  <si>
    <t>原值</t>
    <phoneticPr fontId="6" type="noConversion"/>
  </si>
  <si>
    <t>净值</t>
    <phoneticPr fontId="6" type="noConversion"/>
  </si>
  <si>
    <t>其他非流动资产明细</t>
    <phoneticPr fontId="6" type="noConversion"/>
  </si>
  <si>
    <t>其他流动负债明细</t>
    <phoneticPr fontId="6" type="noConversion"/>
  </si>
  <si>
    <t>其他非流动负债明细</t>
    <phoneticPr fontId="6" type="noConversion"/>
  </si>
  <si>
    <t>部门</t>
  </si>
  <si>
    <t>平均人数</t>
    <phoneticPr fontId="6" type="noConversion"/>
  </si>
  <si>
    <t>请逐项说明预测依据</t>
    <phoneticPr fontId="6" type="noConversion"/>
  </si>
  <si>
    <t>一、营业收入</t>
    <phoneticPr fontId="6" type="noConversion"/>
  </si>
  <si>
    <t>减：营业成本</t>
    <phoneticPr fontId="6" type="noConversion"/>
  </si>
  <si>
    <t>营业税金及附加</t>
    <phoneticPr fontId="6" type="noConversion"/>
  </si>
  <si>
    <t>销售费用</t>
    <phoneticPr fontId="6" type="noConversion"/>
  </si>
  <si>
    <t>管理费用</t>
    <phoneticPr fontId="6" type="noConversion"/>
  </si>
  <si>
    <t>财务费用</t>
    <phoneticPr fontId="6" type="noConversion"/>
  </si>
  <si>
    <t>资产减值损失</t>
    <phoneticPr fontId="6" type="noConversion"/>
  </si>
  <si>
    <t>二、营业利润</t>
    <phoneticPr fontId="6" type="noConversion"/>
  </si>
  <si>
    <t xml:space="preserve">  加：营业外收入</t>
    <phoneticPr fontId="6" type="noConversion"/>
  </si>
  <si>
    <t xml:space="preserve">  减：营业外支出</t>
    <phoneticPr fontId="6" type="noConversion"/>
  </si>
  <si>
    <t>三、利润总额</t>
    <phoneticPr fontId="6" type="noConversion"/>
  </si>
  <si>
    <t>四、净利润</t>
    <phoneticPr fontId="6" type="noConversion"/>
  </si>
  <si>
    <t>毛利率</t>
    <phoneticPr fontId="6" type="noConversion"/>
  </si>
  <si>
    <t>销售费用率</t>
    <phoneticPr fontId="6" type="noConversion"/>
  </si>
  <si>
    <t>管理费用率</t>
    <phoneticPr fontId="6" type="noConversion"/>
  </si>
  <si>
    <t>营业利润率</t>
    <phoneticPr fontId="6" type="noConversion"/>
  </si>
  <si>
    <t>净利率</t>
    <phoneticPr fontId="6" type="noConversion"/>
  </si>
  <si>
    <r>
      <t xml:space="preserve">  </t>
    </r>
    <r>
      <rPr>
        <sz val="11"/>
        <color theme="1"/>
        <rFont val="仿宋"/>
        <family val="3"/>
        <charset val="134"/>
      </rPr>
      <t>减：所得税费用</t>
    </r>
    <phoneticPr fontId="6" type="noConversion"/>
  </si>
  <si>
    <t>股东名称</t>
    <phoneticPr fontId="6" type="noConversion"/>
  </si>
  <si>
    <t>出资形式</t>
    <phoneticPr fontId="15" type="noConversion"/>
  </si>
  <si>
    <t>比例</t>
    <phoneticPr fontId="6" type="noConversion"/>
  </si>
  <si>
    <t>合计</t>
    <phoneticPr fontId="15" type="noConversion"/>
  </si>
  <si>
    <t>认缴资本</t>
    <phoneticPr fontId="6" type="noConversion"/>
  </si>
  <si>
    <t>实缴资本</t>
    <phoneticPr fontId="15" type="noConversion"/>
  </si>
  <si>
    <t>资本公积</t>
    <phoneticPr fontId="6" type="noConversion"/>
  </si>
  <si>
    <t>实收资本</t>
    <phoneticPr fontId="6" type="noConversion"/>
  </si>
  <si>
    <t>截至尽调日</t>
    <phoneticPr fontId="6" type="noConversion"/>
  </si>
  <si>
    <t xml:space="preserve">    管理费用</t>
    <phoneticPr fontId="6" type="noConversion"/>
  </si>
  <si>
    <t xml:space="preserve">    财务费用</t>
    <phoneticPr fontId="6" type="noConversion"/>
  </si>
  <si>
    <t xml:space="preserve">    资产减值损失</t>
    <phoneticPr fontId="6" type="noConversion"/>
  </si>
  <si>
    <t>加：营业外收入</t>
    <phoneticPr fontId="6" type="noConversion"/>
  </si>
  <si>
    <t>减：营业外支出</t>
    <phoneticPr fontId="6" type="noConversion"/>
  </si>
  <si>
    <t xml:space="preserve">    其中：优先股</t>
  </si>
  <si>
    <t xml:space="preserve">    其中：优先股</t>
    <phoneticPr fontId="6" type="noConversion"/>
  </si>
  <si>
    <t xml:space="preserve">          永续股</t>
  </si>
  <si>
    <t xml:space="preserve">          永续股</t>
    <phoneticPr fontId="6" type="noConversion"/>
  </si>
  <si>
    <t xml:space="preserve">    研发费用</t>
    <phoneticPr fontId="6" type="noConversion"/>
  </si>
  <si>
    <t xml:space="preserve">    其中：利息费用</t>
    <phoneticPr fontId="6" type="noConversion"/>
  </si>
  <si>
    <t xml:space="preserve">          利息收入</t>
    <phoneticPr fontId="6" type="noConversion"/>
  </si>
  <si>
    <t>加：其他收益</t>
    <phoneticPr fontId="6" type="noConversion"/>
  </si>
  <si>
    <t xml:space="preserve">    投资收益（损失以“-”号填列）</t>
    <phoneticPr fontId="6" type="noConversion"/>
  </si>
  <si>
    <t xml:space="preserve">    公允价值变动收益（损失以“-”号填列）</t>
    <phoneticPr fontId="6" type="noConversion"/>
  </si>
  <si>
    <t xml:space="preserve">    资产处置收益（损失以“-”号填列）</t>
    <phoneticPr fontId="6" type="noConversion"/>
  </si>
  <si>
    <t xml:space="preserve">    税金及附加</t>
    <phoneticPr fontId="6" type="noConversion"/>
  </si>
  <si>
    <t xml:space="preserve">    其中：对联营企业和合营企业的投资收益</t>
    <phoneticPr fontId="6" type="noConversion"/>
  </si>
  <si>
    <t>营业利润</t>
    <phoneticPr fontId="6" type="noConversion"/>
  </si>
  <si>
    <t>利润总额</t>
    <phoneticPr fontId="6" type="noConversion"/>
  </si>
  <si>
    <t>减：所得税费用</t>
    <phoneticPr fontId="6" type="noConversion"/>
  </si>
  <si>
    <t>净利润</t>
    <phoneticPr fontId="6" type="noConversion"/>
  </si>
  <si>
    <t>非流动资产：</t>
    <phoneticPr fontId="6" type="noConversion"/>
  </si>
  <si>
    <t xml:space="preserve">    销售费用</t>
    <phoneticPr fontId="6" type="noConversion"/>
  </si>
  <si>
    <t>四费占收入比</t>
    <phoneticPr fontId="6" type="noConversion"/>
  </si>
  <si>
    <t>销售费用月平均值</t>
    <phoneticPr fontId="6" type="noConversion"/>
  </si>
  <si>
    <t>销售费用/收入</t>
    <phoneticPr fontId="6" type="noConversion"/>
  </si>
  <si>
    <t>研发费用月平均值</t>
    <phoneticPr fontId="6" type="noConversion"/>
  </si>
  <si>
    <t>研发费用/收入</t>
    <phoneticPr fontId="6" type="noConversion"/>
  </si>
  <si>
    <t>合并层面财务费用明细表</t>
    <phoneticPr fontId="6" type="noConversion"/>
  </si>
  <si>
    <t xml:space="preserve">前10名供应商采购额情况表 </t>
    <phoneticPr fontId="6" type="noConversion"/>
  </si>
  <si>
    <t>前10名客户营业额情况表</t>
    <phoneticPr fontId="6" type="noConversion"/>
  </si>
  <si>
    <t>营业收入构成表（按月份分）</t>
    <phoneticPr fontId="6" type="noConversion"/>
  </si>
  <si>
    <t>营业收入构成表（按产品分）</t>
    <phoneticPr fontId="6" type="noConversion"/>
  </si>
  <si>
    <t>研发费用</t>
    <phoneticPr fontId="6" type="noConversion"/>
  </si>
  <si>
    <t>加：其他收益</t>
  </si>
  <si>
    <t xml:space="preserve">    投资收益</t>
    <phoneticPr fontId="6" type="noConversion"/>
  </si>
  <si>
    <t>货币资金</t>
    <phoneticPr fontId="6" type="noConversion"/>
  </si>
  <si>
    <t>以公允价值计量且其变动计入当期损益的金融资产</t>
    <phoneticPr fontId="6" type="noConversion"/>
  </si>
  <si>
    <t>衍生金融资产</t>
    <phoneticPr fontId="6" type="noConversion"/>
  </si>
  <si>
    <t>预付账款</t>
    <phoneticPr fontId="6" type="noConversion"/>
  </si>
  <si>
    <t>其他应收款</t>
    <phoneticPr fontId="6" type="noConversion"/>
  </si>
  <si>
    <t>存货</t>
    <phoneticPr fontId="6" type="noConversion"/>
  </si>
  <si>
    <t>持有待售资产</t>
    <phoneticPr fontId="6" type="noConversion"/>
  </si>
  <si>
    <t>一年内到期的非流动资产</t>
    <phoneticPr fontId="6" type="noConversion"/>
  </si>
  <si>
    <t>其他流动资产</t>
    <phoneticPr fontId="6" type="noConversion"/>
  </si>
  <si>
    <t>可供出售金融资产</t>
    <phoneticPr fontId="6" type="noConversion"/>
  </si>
  <si>
    <t>持有至到期投资</t>
    <phoneticPr fontId="6" type="noConversion"/>
  </si>
  <si>
    <t>长期应收款</t>
    <phoneticPr fontId="6" type="noConversion"/>
  </si>
  <si>
    <t>长期股权投资</t>
    <phoneticPr fontId="6" type="noConversion"/>
  </si>
  <si>
    <t>投资性房地产</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</si>
  <si>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</si>
  <si>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</si>
  <si>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</si>
  <si>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</si>
  <si>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</si>
  <si>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开发支出</t>
    <phoneticPr fontId="6" type="noConversion"/>
  </si>
  <si>
    <t>商誉</t>
    <phoneticPr fontId="6" type="noConversion"/>
  </si>
  <si>
    <t xml:space="preserve">长期待摊费用 </t>
    <phoneticPr fontId="6" type="noConversion"/>
  </si>
  <si>
    <t xml:space="preserve">递延所得税资产 </t>
    <phoneticPr fontId="6" type="noConversion"/>
  </si>
  <si>
    <t>其他非流动资产</t>
    <phoneticPr fontId="6" type="noConversion"/>
  </si>
  <si>
    <t>资产总计</t>
    <phoneticPr fontId="6" type="noConversion"/>
  </si>
  <si>
    <t>短期借款</t>
    <phoneticPr fontId="6" type="noConversion"/>
  </si>
  <si>
    <t>以公允价值计量且其变动计入当期损益的金融负债</t>
    <phoneticPr fontId="6" type="noConversion"/>
  </si>
  <si>
    <t>衍生金融负债</t>
    <phoneticPr fontId="6" type="noConversion"/>
  </si>
  <si>
    <t xml:space="preserve">预收账款              </t>
    <phoneticPr fontId="6" type="noConversion"/>
  </si>
  <si>
    <t xml:space="preserve">应付职工薪酬    </t>
    <phoneticPr fontId="6" type="noConversion"/>
  </si>
  <si>
    <t xml:space="preserve">应交税费     </t>
    <phoneticPr fontId="6" type="noConversion"/>
  </si>
  <si>
    <t>其他应付款</t>
    <phoneticPr fontId="6" type="noConversion"/>
  </si>
  <si>
    <t>持有待售负债</t>
    <phoneticPr fontId="6" type="noConversion"/>
  </si>
  <si>
    <t>一年内到期的非流动负债</t>
    <phoneticPr fontId="6" type="noConversion"/>
  </si>
  <si>
    <t>其他流动负债</t>
    <phoneticPr fontId="6" type="noConversion"/>
  </si>
  <si>
    <t>长期借款</t>
    <phoneticPr fontId="6" type="noConversion"/>
  </si>
  <si>
    <t>应付债券</t>
    <phoneticPr fontId="6" type="noConversion"/>
  </si>
  <si>
    <t>长期应付款</t>
    <phoneticPr fontId="6" type="noConversion"/>
  </si>
  <si>
    <t>预计负债</t>
    <phoneticPr fontId="6" type="noConversion"/>
  </si>
  <si>
    <t>递延收益</t>
    <phoneticPr fontId="6" type="noConversion"/>
  </si>
  <si>
    <t>递延所得税负债</t>
    <phoneticPr fontId="6" type="noConversion"/>
  </si>
  <si>
    <t>其他非流动负债</t>
    <phoneticPr fontId="6" type="noConversion"/>
  </si>
  <si>
    <t xml:space="preserve">负债合计 </t>
    <phoneticPr fontId="6" type="noConversion"/>
  </si>
  <si>
    <t>实收资本/股本</t>
    <phoneticPr fontId="6" type="noConversion"/>
  </si>
  <si>
    <t>其他权益工具</t>
    <phoneticPr fontId="6" type="noConversion"/>
  </si>
  <si>
    <t xml:space="preserve">资本公积 </t>
    <phoneticPr fontId="6" type="noConversion"/>
  </si>
  <si>
    <t>减：库存股</t>
    <phoneticPr fontId="6" type="noConversion"/>
  </si>
  <si>
    <t>其他综合收益</t>
    <phoneticPr fontId="6" type="noConversion"/>
  </si>
  <si>
    <t>盈余公积</t>
    <phoneticPr fontId="6" type="noConversion"/>
  </si>
  <si>
    <t>未分配利润</t>
    <phoneticPr fontId="6" type="noConversion"/>
  </si>
  <si>
    <t>外币报表折算差额</t>
    <phoneticPr fontId="6" type="noConversion"/>
  </si>
  <si>
    <t>少数股东权益</t>
    <phoneticPr fontId="6" type="noConversion"/>
  </si>
  <si>
    <t>所有者权益合计</t>
    <phoneticPr fontId="6" type="noConversion"/>
  </si>
  <si>
    <t>长期待摊费用构成</t>
    <phoneticPr fontId="6" type="noConversion"/>
  </si>
  <si>
    <r>
      <t>非合并范围的关联方交易发生额</t>
    </r>
    <r>
      <rPr>
        <b/>
        <sz val="11"/>
        <color rgb="FFFF0000"/>
        <rFont val="仿宋"/>
        <family val="3"/>
        <charset val="134"/>
      </rPr>
      <t>（包括业务性质、非业务性质）</t>
    </r>
    <phoneticPr fontId="15" type="noConversion"/>
  </si>
  <si>
    <t>非合并范围的关联方交易期末余额</t>
    <phoneticPr fontId="15" type="noConversion"/>
  </si>
  <si>
    <t>2018年融资额</t>
    <phoneticPr fontId="6" type="noConversion"/>
  </si>
  <si>
    <t>期初未分配利润</t>
    <phoneticPr fontId="6" type="noConversion"/>
  </si>
  <si>
    <t>期末未分配利润</t>
    <phoneticPr fontId="6" type="noConversion"/>
  </si>
  <si>
    <t>盈余公积提取</t>
    <phoneticPr fontId="6" type="noConversion"/>
  </si>
  <si>
    <t>应收账款</t>
    <phoneticPr fontId="6" type="noConversion"/>
  </si>
  <si>
    <t>应收票据</t>
    <phoneticPr fontId="6" type="noConversion"/>
  </si>
  <si>
    <t xml:space="preserve">应付票据  </t>
    <phoneticPr fontId="6" type="noConversion"/>
  </si>
  <si>
    <t xml:space="preserve">应付账款            </t>
    <phoneticPr fontId="6" type="noConversion"/>
  </si>
  <si>
    <t>2019年融资额</t>
    <phoneticPr fontId="6" type="noConversion"/>
  </si>
  <si>
    <t>贵公司母子公司近两年一期纳税申报表。包括合并范围内所有公司的所得税纳税申报表及增值税纳税申报表。</t>
  </si>
  <si>
    <t>数量（如适用）</t>
  </si>
  <si>
    <t>数量（如适用）</t>
    <phoneticPr fontId="6" type="noConversion"/>
  </si>
  <si>
    <t>是否关联</t>
    <phoneticPr fontId="6" type="noConversion"/>
  </si>
  <si>
    <t>性质</t>
    <phoneticPr fontId="6" type="noConversion"/>
  </si>
  <si>
    <t>合并层面研发费用按项目明细表</t>
    <phoneticPr fontId="6" type="noConversion"/>
  </si>
  <si>
    <t>合并层面研发费用按性质明细表</t>
    <phoneticPr fontId="6" type="noConversion"/>
  </si>
  <si>
    <t>项目</t>
    <phoneticPr fontId="6" type="noConversion"/>
  </si>
  <si>
    <t>工资+奖金</t>
  </si>
  <si>
    <t>工资+奖金</t>
    <phoneticPr fontId="15" type="noConversion"/>
  </si>
  <si>
    <t>五险一金</t>
  </si>
  <si>
    <t>五险一金</t>
    <phoneticPr fontId="6" type="noConversion"/>
  </si>
  <si>
    <t>平均人工成本</t>
    <phoneticPr fontId="6" type="noConversion"/>
  </si>
  <si>
    <t>账龄1年以内金额</t>
    <phoneticPr fontId="6" type="noConversion"/>
  </si>
  <si>
    <t>账龄1-2年金额</t>
    <phoneticPr fontId="6" type="noConversion"/>
  </si>
  <si>
    <t>账龄2-3年金额</t>
    <phoneticPr fontId="6" type="noConversion"/>
  </si>
  <si>
    <t>账龄3-4年金额</t>
    <phoneticPr fontId="6" type="noConversion"/>
  </si>
  <si>
    <t>账龄4-5年金额</t>
    <phoneticPr fontId="6" type="noConversion"/>
  </si>
  <si>
    <t>账龄5年以上金额</t>
    <phoneticPr fontId="6" type="noConversion"/>
  </si>
  <si>
    <t>应收账款按性质明细</t>
    <phoneticPr fontId="6" type="noConversion"/>
  </si>
  <si>
    <t>合并层面按客户应收账款明细表（前20大）</t>
    <phoneticPr fontId="6" type="noConversion"/>
  </si>
  <si>
    <t>预付账款按客户明细（前20大）</t>
    <phoneticPr fontId="6" type="noConversion"/>
  </si>
  <si>
    <t>预付账款按性质明细</t>
    <phoneticPr fontId="6" type="noConversion"/>
  </si>
  <si>
    <t>其他应收款按性质明细</t>
    <phoneticPr fontId="6" type="noConversion"/>
  </si>
  <si>
    <t>其他应收款按客户明细（前10大）</t>
    <phoneticPr fontId="6" type="noConversion"/>
  </si>
  <si>
    <t>应付账款按性质明细</t>
    <phoneticPr fontId="6" type="noConversion"/>
  </si>
  <si>
    <t>预收账款按性质明细</t>
    <phoneticPr fontId="6" type="noConversion"/>
  </si>
  <si>
    <t>上述文件请在进场前以电子版形式准备好并发出，有任何疑问请联系本次财务尽调负责人：</t>
    <phoneticPr fontId="6" type="noConversion"/>
  </si>
  <si>
    <t>业务类型</t>
    <phoneticPr fontId="6" type="noConversion"/>
  </si>
  <si>
    <t>收入</t>
    <phoneticPr fontId="6" type="noConversion"/>
  </si>
  <si>
    <t>成本</t>
    <phoneticPr fontId="6" type="noConversion"/>
  </si>
  <si>
    <t>上表中收入及成本明细请进一步拆分</t>
    <phoneticPr fontId="6" type="noConversion"/>
  </si>
  <si>
    <t>流动资产合计</t>
    <phoneticPr fontId="6" type="noConversion"/>
  </si>
  <si>
    <t>非流动资产合计</t>
    <phoneticPr fontId="6" type="noConversion"/>
  </si>
  <si>
    <t>流动负债合计</t>
    <phoneticPr fontId="6" type="noConversion"/>
  </si>
  <si>
    <t>非流动负债合计</t>
    <phoneticPr fontId="6" type="noConversion"/>
  </si>
  <si>
    <t>收入</t>
  </si>
  <si>
    <t>成本</t>
    <phoneticPr fontId="6" type="noConversion"/>
  </si>
  <si>
    <t>收入类型</t>
  </si>
  <si>
    <t>收入类型</t>
    <phoneticPr fontId="6" type="noConversion"/>
  </si>
  <si>
    <t>采购品类</t>
  </si>
  <si>
    <t>采购品类</t>
    <phoneticPr fontId="6" type="noConversion"/>
  </si>
  <si>
    <t>贵公司未来期间大额资金支出计划项目明细及对应预算（包括如土地厂房购置、预计大额投入的研发项目等，但不包括正常生产资料采购或人员招聘）</t>
    <phoneticPr fontId="6" type="noConversion"/>
  </si>
  <si>
    <t>2019年</t>
    <phoneticPr fontId="6" type="noConversion"/>
  </si>
  <si>
    <t>2020E</t>
    <phoneticPr fontId="6" type="noConversion"/>
  </si>
  <si>
    <t>贵公司近两年一期各主要公司六大往来（应收应付、其他应收应付、预收预付）按客户或供应商的余额表，能看到各客户和供应商期初、期末以及本年发生借贷方额；</t>
    <phoneticPr fontId="6" type="noConversion"/>
  </si>
  <si>
    <t>2019年</t>
  </si>
  <si>
    <t>2018年</t>
  </si>
  <si>
    <t>2018年</t>
    <phoneticPr fontId="6" type="noConversion"/>
  </si>
  <si>
    <t>2018年12月31日</t>
  </si>
  <si>
    <t>2019年12月31日</t>
  </si>
  <si>
    <t>2020年1-6月</t>
    <phoneticPr fontId="6" type="noConversion"/>
  </si>
  <si>
    <t>2020年6月30日</t>
    <phoneticPr fontId="6" type="noConversion"/>
  </si>
  <si>
    <t>2018年1月1日余额</t>
    <phoneticPr fontId="6" type="noConversion"/>
  </si>
  <si>
    <t>2018年计提</t>
  </si>
  <si>
    <t>2018年转回</t>
  </si>
  <si>
    <t>2018年核销</t>
  </si>
  <si>
    <t>2018年12月31日余额</t>
  </si>
  <si>
    <t>2019年计提</t>
  </si>
  <si>
    <t>2019年转回</t>
  </si>
  <si>
    <t>2019年核销</t>
  </si>
  <si>
    <t>2019年12月31日余额</t>
  </si>
  <si>
    <t>2020年计提</t>
  </si>
  <si>
    <t>2020年转回</t>
  </si>
  <si>
    <t>2020年核销</t>
  </si>
  <si>
    <t>2020年6月30日余额</t>
    <phoneticPr fontId="6" type="noConversion"/>
  </si>
  <si>
    <t>职工薪酬及劳务费</t>
  </si>
  <si>
    <t>租赁及物业费</t>
  </si>
  <si>
    <t>折旧及摊销费</t>
  </si>
  <si>
    <t>水电费</t>
  </si>
  <si>
    <t>服务费</t>
  </si>
  <si>
    <t>差旅费</t>
  </si>
  <si>
    <t>税费</t>
  </si>
  <si>
    <t>材料消耗</t>
  </si>
  <si>
    <t>业务招待费</t>
  </si>
  <si>
    <t>交通费</t>
  </si>
  <si>
    <t>办公费</t>
  </si>
  <si>
    <t>修理费</t>
  </si>
  <si>
    <t>运输费</t>
  </si>
  <si>
    <t>技术服务费</t>
  </si>
  <si>
    <t>广告费</t>
  </si>
  <si>
    <t>存货盘亏</t>
  </si>
  <si>
    <t>股份支付费用</t>
  </si>
  <si>
    <t>其他</t>
  </si>
  <si>
    <t>展览及物料消耗费</t>
  </si>
  <si>
    <t>邮费及运费</t>
  </si>
  <si>
    <t>交通运输费</t>
  </si>
  <si>
    <t xml:space="preserve">人工费 </t>
  </si>
  <si>
    <t xml:space="preserve">物料消耗费 </t>
  </si>
  <si>
    <t xml:space="preserve">其他 </t>
  </si>
  <si>
    <t>利息支出</t>
  </si>
  <si>
    <t>汇兑损益</t>
  </si>
  <si>
    <t>利息收入</t>
    <phoneticPr fontId="6" type="noConversion"/>
  </si>
  <si>
    <t>利息资本化金额</t>
    <phoneticPr fontId="6" type="noConversion"/>
  </si>
  <si>
    <t>汇兑损益资本化金额</t>
    <phoneticPr fontId="6" type="noConversion"/>
  </si>
  <si>
    <t>广州明剑电子科技有限公司</t>
  </si>
  <si>
    <t>江苏国光信息产业股份有限公司</t>
  </si>
  <si>
    <t>交通银行股份有限公司</t>
  </si>
  <si>
    <t>深圳市东贵吉科技有限公司</t>
  </si>
  <si>
    <t>福建升腾资讯有限公司</t>
  </si>
  <si>
    <t>山东大学</t>
  </si>
  <si>
    <t>贵州省安顺市公安局西秀分局</t>
  </si>
  <si>
    <t>湖南长城信息金融设备有限责任公司</t>
  </si>
  <si>
    <t>中国工商银行股份有限公司</t>
  </si>
  <si>
    <t>浙江省公众信息产业有限公司</t>
  </si>
  <si>
    <t>浪潮软件科技有限公司</t>
  </si>
  <si>
    <t>云南南天信息设备有限公司</t>
  </si>
  <si>
    <t>恒银金融科技股份有限公司</t>
  </si>
  <si>
    <t>珠海汇金科技股份有限公司</t>
  </si>
  <si>
    <t>东营胜利机场管理有限责任公司</t>
  </si>
  <si>
    <t>中国邮政储蓄银行股份有限公司</t>
  </si>
  <si>
    <t>深圳怡化金融设备制造有限公司</t>
  </si>
  <si>
    <t>吉林省佳硕科技有限责任公司</t>
  </si>
  <si>
    <t>中国民生银行股份有限公司</t>
  </si>
  <si>
    <t>广西北部湾银行股份有限公司</t>
  </si>
  <si>
    <t>一年以内</t>
  </si>
  <si>
    <t>深圳市吉控科技有限公司</t>
  </si>
  <si>
    <t>中欧国际工商学院</t>
  </si>
  <si>
    <t>深圳领跑光电有限公司</t>
  </si>
  <si>
    <t>深圳市林慧通科技有限公司</t>
  </si>
  <si>
    <t>黄宝晗</t>
  </si>
  <si>
    <t>陈荻玲</t>
  </si>
  <si>
    <t>深圳市迪安杰智能识别科技有限公司</t>
  </si>
  <si>
    <t>深圳市创新通科技发展有限公司</t>
  </si>
  <si>
    <t>北京多氪信息科技有限公司</t>
  </si>
  <si>
    <t>金额</t>
    <phoneticPr fontId="6" type="noConversion"/>
  </si>
  <si>
    <t>1年以内</t>
  </si>
  <si>
    <t>上海瑜萱信息科技工作室</t>
    <phoneticPr fontId="6" type="noConversion"/>
  </si>
  <si>
    <t>供应商名称</t>
    <phoneticPr fontId="6" type="noConversion"/>
  </si>
  <si>
    <t>任丽萍</t>
  </si>
  <si>
    <t>王雪娇</t>
  </si>
  <si>
    <t>王海建</t>
  </si>
  <si>
    <t>肖坤</t>
  </si>
  <si>
    <t>常立娜</t>
  </si>
  <si>
    <t>潘驭骐</t>
  </si>
  <si>
    <t>黄宏建</t>
  </si>
  <si>
    <t>王希佳</t>
  </si>
  <si>
    <t>郝欣欣</t>
  </si>
  <si>
    <t>王厚金</t>
  </si>
  <si>
    <t>2016年9月收购天诚智能支付6.6万，账面净资产-30.58万。</t>
    <phoneticPr fontId="6" type="noConversion"/>
  </si>
  <si>
    <t>IMAGE MATCH DESING INC.（映智科技股份有限公司）</t>
  </si>
  <si>
    <t>深圳市汇利斯通信息技术有限公司</t>
  </si>
  <si>
    <t>贵州创智嘉科技有限公司</t>
  </si>
  <si>
    <t>周峰</t>
  </si>
  <si>
    <t>北京市商汤科技开发有限公司</t>
  </si>
  <si>
    <t>贝伦企业股份有限公司</t>
  </si>
  <si>
    <t>力恒丰业科技（深圳）有限公司</t>
  </si>
  <si>
    <t>深圳市海平面新材料技术有限公司</t>
  </si>
  <si>
    <t>深圳市聚芯影像有限公司</t>
  </si>
  <si>
    <t>2年以内</t>
    <phoneticPr fontId="6" type="noConversion"/>
  </si>
  <si>
    <t>3年以内</t>
    <phoneticPr fontId="6" type="noConversion"/>
  </si>
  <si>
    <t>APPLIED—DATA—LOGIX</t>
  </si>
  <si>
    <t>LITTLEMORE—INNOVATION—LABS—PTE</t>
  </si>
  <si>
    <t>个人</t>
  </si>
  <si>
    <t>惠州市合众惠创科技有限公司</t>
  </si>
  <si>
    <t>山东信久石化有限公司</t>
  </si>
  <si>
    <t>深圳市伟合佳电子科技有限公司</t>
  </si>
  <si>
    <t>深圳真金瑷科技有限公司</t>
  </si>
  <si>
    <t>北京易捷联创科技有限公司</t>
  </si>
  <si>
    <t>广州阿成科技有限公司</t>
  </si>
  <si>
    <t>敖翔</t>
  </si>
  <si>
    <t>深圳丽泽智能科技有限公司</t>
  </si>
  <si>
    <t>深圳市思航信息科技有限公司</t>
  </si>
  <si>
    <t>武汉喻华科智能科技有限公司</t>
  </si>
  <si>
    <t>安徽鼎越信息技术有限公司</t>
  </si>
  <si>
    <t>陈冰</t>
  </si>
  <si>
    <t>福建郃峰环保科技实业有限公司</t>
  </si>
  <si>
    <t>个人—虹膜锁（停用）</t>
  </si>
  <si>
    <t>广州市快易点智能科技有限公司</t>
  </si>
  <si>
    <t>江西全光谱安防科技有限公司</t>
  </si>
  <si>
    <t>上海动景眼镜集团有限公司</t>
  </si>
  <si>
    <t>上海泓仑电子科技有限公司</t>
  </si>
  <si>
    <t>深圳汉德霍尔科技有限公司</t>
  </si>
  <si>
    <t>王培暖</t>
  </si>
  <si>
    <t>吴雪娟</t>
  </si>
  <si>
    <t>杨女士</t>
  </si>
  <si>
    <t>俞福金</t>
  </si>
  <si>
    <t>广东眼神科技有限公司</t>
  </si>
  <si>
    <t>陕西易通星云科技发展有限公司</t>
  </si>
  <si>
    <t>天津捷皓科技有限公司</t>
  </si>
  <si>
    <t>湖北易站通达电子科技有限公司</t>
  </si>
  <si>
    <t>7077国际贸易</t>
  </si>
  <si>
    <t>Hongkong Creditab Technologies Co., Limited</t>
  </si>
  <si>
    <t>白山浑江恒泰村镇银行股份有限公司</t>
  </si>
  <si>
    <t>北京博通智雅科技发展有限公司</t>
  </si>
  <si>
    <t>北京成世科技有限责任公司</t>
  </si>
  <si>
    <t>北京冠群信息技术股份有限公司</t>
  </si>
  <si>
    <t>北京华辰泽众信息科技有限公司</t>
  </si>
  <si>
    <t>北京华诚众智科技有限公司</t>
  </si>
  <si>
    <t>北京华夏聚龙自动化股份公司</t>
  </si>
  <si>
    <t>北京华宇信息技术有限公司</t>
  </si>
  <si>
    <t>北京锦尚天诚国际贸易有限公司</t>
  </si>
  <si>
    <t>北京京邦达贸易有限公司</t>
  </si>
  <si>
    <t>北京聚品佳业科技有限公司</t>
  </si>
  <si>
    <t>北京麦哲科技有限公司</t>
  </si>
  <si>
    <t>北京铭盛佳业商贸有限公司</t>
  </si>
  <si>
    <t>北京赛尔启航软件有限公司</t>
  </si>
  <si>
    <t>北京泰华瑞达科技有限公司</t>
  </si>
  <si>
    <t>北京祥和正业科技发展有限公司</t>
  </si>
  <si>
    <t>北京云掌科技有限公司</t>
  </si>
  <si>
    <t>北京正源浩商务咨询有限公司</t>
  </si>
  <si>
    <t>北京智联弘盛科技发展有限公司</t>
  </si>
  <si>
    <t>北京众鸿天信息技术有限公司</t>
  </si>
  <si>
    <t>北京卓盟讯科技有限公司</t>
  </si>
  <si>
    <t>北京紫光图文系统有限公司</t>
  </si>
  <si>
    <t>渤海银行股份有限公司南京分行</t>
  </si>
  <si>
    <t>沧州市理想办公设备有限公司</t>
  </si>
  <si>
    <t>沧州市运河区金宏计算机销售中心（注销）</t>
  </si>
  <si>
    <t>成都蓝天双翼科技有限责任公司</t>
  </si>
  <si>
    <t>成都市凌云通讯有限公司</t>
  </si>
  <si>
    <t>达峰科技</t>
  </si>
  <si>
    <t>扶余市农村信用合作联社</t>
  </si>
  <si>
    <t>福建捷宇电脑科技有限公司</t>
  </si>
  <si>
    <t>福建润天信息技术有限公司</t>
  </si>
  <si>
    <t>福建省闽保信息技术股份有限公司</t>
  </si>
  <si>
    <t>甘肃为创计算机系统有限公司</t>
  </si>
  <si>
    <t>工银信用卡（国际）</t>
  </si>
  <si>
    <t>冠亚科技（上海）有限公司</t>
  </si>
  <si>
    <t>广东阿成科技有限公司</t>
  </si>
  <si>
    <t>广东百世传承投资咨询有限公司</t>
  </si>
  <si>
    <t>广东奔腾达电子有限公司</t>
  </si>
  <si>
    <t>广东无界商盟科技股份有限公司北京分公司</t>
  </si>
  <si>
    <t>广州锋海智能科技有限公司</t>
  </si>
  <si>
    <t>广州市博腾金属制品有限公司</t>
  </si>
  <si>
    <t>广州亚信电子科技有限公司</t>
  </si>
  <si>
    <t>广州卓腾科技有限公司</t>
  </si>
  <si>
    <t>贵阳得实电子产品销售有限责任公司</t>
  </si>
  <si>
    <t>贵州百信安网络科技有限公司</t>
  </si>
  <si>
    <t>贵州辰瑞旭升科技有限公司</t>
  </si>
  <si>
    <t>哈尔滨融源科技开发有限公司</t>
  </si>
  <si>
    <t>哈尔滨睿诚嘉信科技发展有限公司</t>
  </si>
  <si>
    <t>海外直销—亚洲国家—泰国</t>
  </si>
  <si>
    <t>行唐县农村信用联社股份有限公司</t>
  </si>
  <si>
    <t>杭州海洋通信器材有限公司</t>
  </si>
  <si>
    <t>合肥格讯信息技术有限公司</t>
  </si>
  <si>
    <t>合肥卓凡信息科技有限公司</t>
  </si>
  <si>
    <t>河北豪美</t>
  </si>
  <si>
    <t>河北和众弘盛电子科技有限公司</t>
  </si>
  <si>
    <t>河北省农村信用社联合社</t>
  </si>
  <si>
    <t>河南银腾电子科技有限公司</t>
  </si>
  <si>
    <t>河南银智电子科技有限公司</t>
  </si>
  <si>
    <t>河南智点空间信息科技有限公司</t>
  </si>
  <si>
    <t>呼和浩特市恒业科贸有限公司</t>
  </si>
  <si>
    <t>葫芦岛市永联电脑有限责任公司</t>
  </si>
  <si>
    <t>湖南六和科技有限公司</t>
  </si>
  <si>
    <t>华夏银行股份有限公司北京分行</t>
  </si>
  <si>
    <t>吉林敦化农村商业银行股份有限公司</t>
  </si>
  <si>
    <t>济南宇联触控</t>
  </si>
  <si>
    <t>江苏东大集成电路系统工程技术有限公司</t>
  </si>
  <si>
    <t>江苏东海农村商业银行股份有限公司</t>
  </si>
  <si>
    <t>江苏高邮农村商业银行股份有限公司</t>
  </si>
  <si>
    <t>江苏禾嘉电子科技有限公司</t>
  </si>
  <si>
    <t>江苏洪泽农村商业银行股份有限公司</t>
  </si>
  <si>
    <t>江苏姜堰农村商业银行股份有限公司</t>
  </si>
  <si>
    <t>辽宁东港农村商业银行股份有限公司</t>
  </si>
  <si>
    <t>南京奥拓电子科技有限公司</t>
  </si>
  <si>
    <t>南京诚安科技有限责任公司</t>
  </si>
  <si>
    <t>南京优悦鑫电子设备有限公司</t>
  </si>
  <si>
    <t>南阳市恒业宏博商贸有限公司</t>
  </si>
  <si>
    <t>内蒙古银安科技开发有限责任公司</t>
  </si>
  <si>
    <t>内蒙古誉华智能科技有限公司</t>
  </si>
  <si>
    <t>宁夏宁汇达科技有限公司</t>
  </si>
  <si>
    <t>盘锦市兴隆台区农村信用合作联社</t>
  </si>
  <si>
    <t>平乡县教育局</t>
  </si>
  <si>
    <t>钱长征</t>
  </si>
  <si>
    <t>青岛深科电子科技有限公司</t>
  </si>
  <si>
    <t>青岛银行股份有限公司东营分行</t>
  </si>
  <si>
    <t>青岛赢正毅业网络信息咨询有限公司</t>
  </si>
  <si>
    <t>厦门国际银行股份有限公司</t>
  </si>
  <si>
    <t>山东安之畅信息技术股份有限公司</t>
  </si>
  <si>
    <t>山东诚志伟业科技有限公司</t>
  </si>
  <si>
    <t>山东恒创网络科技有限公司</t>
  </si>
  <si>
    <t>山东华鲁科技发展股份有限公司</t>
  </si>
  <si>
    <t>山东泰安交通运输集团有限公司</t>
  </si>
  <si>
    <t>山西阿法弟科技有限公司</t>
  </si>
  <si>
    <t>山西德睿思信息科技有限公司</t>
  </si>
  <si>
    <t>山西光银数码科技有限公司</t>
  </si>
  <si>
    <t>山西宏轩汇川网络科技有限公司</t>
  </si>
  <si>
    <t>山西心诚信息科技有限公司</t>
  </si>
  <si>
    <t>陕西秦翼智能科技有限公司</t>
  </si>
  <si>
    <t>陕西万盛达信息科技有限公司</t>
  </si>
  <si>
    <t>上海策班信息技术有限公司</t>
  </si>
  <si>
    <t>上海君众甲匠网络技术有限公司</t>
  </si>
  <si>
    <t>邵东县宋家塘人众办公电脑设备商行</t>
  </si>
  <si>
    <t>深信服网络科技（深圳）有限公司</t>
  </si>
  <si>
    <t>深圳华智会智能科技有限公司</t>
  </si>
  <si>
    <t>深圳市倍量电子有限公司</t>
  </si>
  <si>
    <t>深圳市川泉科技有限公司</t>
  </si>
  <si>
    <t>深圳市华科南方电子设备有限公司</t>
  </si>
  <si>
    <t>深圳市凯欣达信息技术股份有限公司</t>
  </si>
  <si>
    <t>深圳市联巨电子技术有限公司</t>
  </si>
  <si>
    <t>深圳市赛威思科技有限公司</t>
  </si>
  <si>
    <t>深圳市上融科技有限公司</t>
  </si>
  <si>
    <t>深圳市易斯达信息技术有限公司</t>
  </si>
  <si>
    <t>深圳一禾王牌数据有限公司</t>
  </si>
  <si>
    <t>深圳毅能达智能终端技术有限公司</t>
  </si>
  <si>
    <t>深圳悦美移动科技有限公司</t>
  </si>
  <si>
    <t>深圳中航信息科技产业股份有限公司</t>
  </si>
  <si>
    <t>神思电子技术股份有限公司</t>
  </si>
  <si>
    <t>沈阳勃羽信息技术有限公司</t>
  </si>
  <si>
    <t>沈阳天赢软件</t>
  </si>
  <si>
    <t>四川鼎鸿物联网科技有限公司</t>
  </si>
  <si>
    <t>四川东政电子技术有限公司</t>
  </si>
  <si>
    <t>四川聚雅科技有限公司</t>
  </si>
  <si>
    <t>四川天中天科技有限公司</t>
  </si>
  <si>
    <t>苏州银点信息技术股份有限公司</t>
  </si>
  <si>
    <t>绥中县农村信用合作联社</t>
  </si>
  <si>
    <t>泰安市城东大队城区交通管理服务站</t>
  </si>
  <si>
    <t>天津杰视通科技发展有限公司</t>
  </si>
  <si>
    <t>天津今诚教育信息咨询有限公司</t>
  </si>
  <si>
    <t>天津泰林科技发展有限公司</t>
  </si>
  <si>
    <t>天龙首饰（深圳）有限公司</t>
  </si>
  <si>
    <t>铁东区创美电子商行（注销）</t>
  </si>
  <si>
    <t>铁岭泰吉电子信息工程有限公司</t>
  </si>
  <si>
    <t>通化优程商贸有限公司</t>
  </si>
  <si>
    <t>武汉楚鸿泰电子科技有限公司</t>
  </si>
  <si>
    <t>武汉汉德运通科技有限公司</t>
  </si>
  <si>
    <t>信阳银信科技有限公司</t>
  </si>
  <si>
    <t>徐州尚勤电子科技有限公司</t>
  </si>
  <si>
    <t>宣化中成村镇银行股份有限公司</t>
  </si>
  <si>
    <t>延边农村商业银行股份有限公司延江支行</t>
  </si>
  <si>
    <t>义县农村信用合作联社</t>
  </si>
  <si>
    <t>云南亨佳信息技术有限公司</t>
  </si>
  <si>
    <t>枣强县农村信用合作联社</t>
  </si>
  <si>
    <t>长春市馨泽电脑有限公司</t>
  </si>
  <si>
    <t>长治市伟泽商贸有限公司</t>
  </si>
  <si>
    <t>招商银行股份有限公司马鞍山分行</t>
  </si>
  <si>
    <t>浙江依特诺科技股份有限公司</t>
  </si>
  <si>
    <t>郑州博税信息技术有限公司</t>
  </si>
  <si>
    <t>郑州宏新电子科技有限公司</t>
  </si>
  <si>
    <t>郑州群卓电子科技有限公司</t>
  </si>
  <si>
    <t>中国工商银行（澳门）股份有限公司</t>
  </si>
  <si>
    <t>中国工商银行股份有限公司安徽省分行</t>
  </si>
  <si>
    <t>中国工商银行股份有限公司重庆市分行</t>
  </si>
  <si>
    <t>中国光大银行股份有限公司上海分行</t>
  </si>
  <si>
    <t>中国光大银行股份有限公司沈阳分行</t>
  </si>
  <si>
    <t>中国农业银行股份有限公司安徽省分行</t>
  </si>
  <si>
    <t>中国农业银行股份有限公司海口龙华支行</t>
  </si>
  <si>
    <t>中国农业银行股份有限公司鹤壁分行</t>
  </si>
  <si>
    <t>中国农业银行股份有限公司简阳市支行</t>
  </si>
  <si>
    <t>中国农业银行股份有限公司辽宁省分行</t>
  </si>
  <si>
    <t>中国农业银行股份有限公司南宁分行</t>
  </si>
  <si>
    <t>中国农业银行股份有限公司四平分行</t>
  </si>
  <si>
    <t>中国农业银行股份有限公司珠海分行</t>
  </si>
  <si>
    <t>中国邮政储蓄银行股份有限公司广东省分行</t>
  </si>
  <si>
    <t>中国邮政储蓄银行股份有限公司河北省分行</t>
  </si>
  <si>
    <t>中国邮政储蓄银行股份有限公司吉林省分行</t>
  </si>
  <si>
    <t>中国邮政储蓄银行股份有限公司集贤县支行</t>
  </si>
  <si>
    <t>中国邮政储蓄银行股份有限公司山东省分行</t>
  </si>
  <si>
    <t>中国邮政储蓄银行股份有限公司重庆沙坪坝区支行</t>
  </si>
  <si>
    <t>中国邮政集团公司北海市分公司</t>
  </si>
  <si>
    <t>中国邮政集团公司承德市分公司</t>
  </si>
  <si>
    <t>中国邮政集团公司抚顺市分公司</t>
  </si>
  <si>
    <t>中国邮政集团公司广西壮族自治区都安县分公司</t>
  </si>
  <si>
    <t>中国邮政集团公司河北省隆化县分公司</t>
  </si>
  <si>
    <t>中国邮政集团公司衡阳市分公司</t>
  </si>
  <si>
    <t>中国邮政集团公司吉林省梅河口市分公司</t>
  </si>
  <si>
    <t>中国邮政集团公司吉林省永吉县分公司</t>
  </si>
  <si>
    <t>中国邮政集团公司茂名市分公司</t>
  </si>
  <si>
    <t>中兴驾校总校</t>
  </si>
  <si>
    <t>中原银行股份有限公司</t>
  </si>
  <si>
    <t>中原银行股份有限公司焦作分行</t>
  </si>
  <si>
    <t>重庆双业科技有限公司</t>
  </si>
  <si>
    <t>珠海生光电脑有限公司</t>
  </si>
  <si>
    <t>珠海喜迪科技发展有限公司</t>
  </si>
  <si>
    <t>北京锋柚科技有限公司</t>
  </si>
  <si>
    <t>北京汇和乾元科技发展有限公司</t>
  </si>
  <si>
    <t>北京九风通科技发展有限公司</t>
  </si>
  <si>
    <t>北京神州泰业科技发展有限公司</t>
  </si>
  <si>
    <t>北京一点万通科贸有限公司</t>
  </si>
  <si>
    <t>沧州银行股份有限公司</t>
  </si>
  <si>
    <t>陈洪波</t>
  </si>
  <si>
    <t>邓玲</t>
  </si>
  <si>
    <t>东方伽载公司</t>
  </si>
  <si>
    <t>鄂尔多斯市西部动力科技有限公司</t>
  </si>
  <si>
    <t>甘肃省张掖市甘州区致远计算机销售中心</t>
  </si>
  <si>
    <t>哈尔滨教化电子</t>
  </si>
  <si>
    <t>河南省农村信用社联合社</t>
  </si>
  <si>
    <t>火杨</t>
  </si>
  <si>
    <t>吉林省农村信用社联合社</t>
  </si>
  <si>
    <t>吉林银行股份有限公司</t>
  </si>
  <si>
    <t>济南历下天昆科技服务中心（注销）</t>
  </si>
  <si>
    <t>济宁鼎盛数码科技有限公司</t>
  </si>
  <si>
    <t>江苏省农村信用社联合社</t>
  </si>
  <si>
    <t>蒋毅</t>
  </si>
  <si>
    <t>吕梁蓝田电脑科技有限公司</t>
  </si>
  <si>
    <t>绵阳嘉丰电子</t>
  </si>
  <si>
    <t>荣科科技股份有限公司</t>
  </si>
  <si>
    <t>山东沂正软件有限公司</t>
  </si>
  <si>
    <t>山西省农村信用社联合社</t>
  </si>
  <si>
    <t>深圳市捷普印标识科技有限公司</t>
  </si>
  <si>
    <t>深圳市同创软件科技有限公司</t>
  </si>
  <si>
    <t>沈阳卡得智能科技有限公司</t>
  </si>
  <si>
    <t>沈阳卡通科技有限公司</t>
  </si>
  <si>
    <t>沈阳市和平区介元天赢软件开发中心</t>
  </si>
  <si>
    <t>沈阳市音乐之声娱乐广场（注销）</t>
  </si>
  <si>
    <t>朔州怀仁林广立</t>
  </si>
  <si>
    <t>思南县百信大药房</t>
  </si>
  <si>
    <t>太原市小店区金联信办公用品经销部</t>
  </si>
  <si>
    <t>唐山奥士达商贸有限公司</t>
  </si>
  <si>
    <t>田玉明</t>
  </si>
  <si>
    <t>铁岭东泰吉瑞计算机有限公司</t>
  </si>
  <si>
    <t>铁岭市银州区鼎天电脑经销部</t>
  </si>
  <si>
    <t>铁岭银行股份有限公司</t>
  </si>
  <si>
    <t>王凯慧</t>
  </si>
  <si>
    <t>王智</t>
  </si>
  <si>
    <t>温志恒</t>
  </si>
  <si>
    <t>武汉利君科技发展有限公司（吊销）</t>
  </si>
  <si>
    <t>新达通科技股份有限公司</t>
  </si>
  <si>
    <t>阳泉市联发科技中心</t>
  </si>
  <si>
    <t>邮储USB转接线</t>
  </si>
  <si>
    <t>邮政TC2008</t>
  </si>
  <si>
    <t>邮政串口线</t>
  </si>
  <si>
    <t>邮政维修费</t>
  </si>
  <si>
    <t>张烈</t>
  </si>
  <si>
    <t>张峥</t>
  </si>
  <si>
    <t>长治市城区佳能科技部</t>
  </si>
  <si>
    <t>中国农业银行股份有限公司洪雅县支行</t>
  </si>
  <si>
    <t>中国农业银行股份有限公司山西省分行</t>
  </si>
  <si>
    <t>中国农业银行股份有限公司四川省分行</t>
  </si>
  <si>
    <t>中国邮政集团有限公司阳泉市分公司</t>
  </si>
  <si>
    <t>预收货款</t>
    <phoneticPr fontId="6" type="noConversion"/>
  </si>
  <si>
    <t>苏州合力拓展信息技术有限公司</t>
  </si>
  <si>
    <t>北京康信知识产权代理有限责任公司</t>
  </si>
  <si>
    <t>济南凯途广告传媒有限公司</t>
  </si>
  <si>
    <t>刘守宪</t>
  </si>
  <si>
    <t>北京进源清洁服务有限公司</t>
  </si>
  <si>
    <t>北京德润税务师事务所有限公司</t>
  </si>
  <si>
    <t>北京德润会计师事务所</t>
  </si>
  <si>
    <t>王玉瑶</t>
  </si>
  <si>
    <t>河南绘梦未来网络科技有限公司</t>
  </si>
  <si>
    <t>周军</t>
  </si>
  <si>
    <t>陈晓敏</t>
  </si>
  <si>
    <t>周长金</t>
  </si>
  <si>
    <t>深圳探日咨询管理有限公司</t>
  </si>
  <si>
    <t>云南艾盾科技有限公司</t>
  </si>
  <si>
    <t>山东网能电气有限公司</t>
  </si>
  <si>
    <t>陕西季风电子科技有限公司</t>
  </si>
  <si>
    <t>河北时代电子有限公司</t>
  </si>
  <si>
    <t>北京宏德信智源泉技术公司</t>
  </si>
  <si>
    <t>昆明上扬科技有限公司</t>
  </si>
  <si>
    <t>智汇神州信息发展有限公司</t>
  </si>
  <si>
    <t>珠海市金鼎新华盛机械厂</t>
  </si>
  <si>
    <t>安徽动高科技有限公司</t>
  </si>
  <si>
    <t>深圳市道控技术有限公司</t>
  </si>
  <si>
    <t>北京聚宝网络科技有限公司</t>
  </si>
  <si>
    <t>北京凌飞科技有限责任公司</t>
  </si>
  <si>
    <t>北京长远视通科技有限公司</t>
  </si>
  <si>
    <t>上海茂骐电子商务有限公司</t>
  </si>
  <si>
    <t>西安兴汇电力科技有限公司</t>
  </si>
  <si>
    <t>徐州未途信息科技有限公司</t>
  </si>
  <si>
    <t>沈阳市和平区介元天赢软件</t>
  </si>
  <si>
    <t>艾尔发企业管理咨询（上海）有限公司</t>
  </si>
  <si>
    <t>北京华宇软件股份有限公司</t>
  </si>
  <si>
    <t>青岛海天炜业自动化控制系统有限公司</t>
  </si>
  <si>
    <t>廊坊市君安机动车检测有限公司</t>
  </si>
  <si>
    <t>袁征</t>
  </si>
  <si>
    <t>精友国际信息科技（北京）有限公司</t>
  </si>
  <si>
    <t>侯念峰</t>
  </si>
  <si>
    <t>候娟</t>
  </si>
  <si>
    <t>吕廷柱</t>
  </si>
  <si>
    <t>济南天翔物业管理有限公司</t>
  </si>
  <si>
    <t>深圳市弘丰创新科技有限公司</t>
  </si>
  <si>
    <t>深圳市赛点设计有限公司</t>
  </si>
  <si>
    <t>肖青锋</t>
  </si>
  <si>
    <t>何平利</t>
  </si>
  <si>
    <t>深圳市龙城物业管理有限公司虚拟大学园</t>
  </si>
  <si>
    <t>深圳市嘉瑞视觉科技有限公司</t>
  </si>
  <si>
    <t>胡盼</t>
  </si>
  <si>
    <t>深圳市君合智联财务咨询有限公司</t>
  </si>
  <si>
    <t>深圳市宏创达办公家具有限公司</t>
  </si>
  <si>
    <t>李登辉</t>
  </si>
  <si>
    <t>王东</t>
  </si>
  <si>
    <t>罗杨</t>
  </si>
  <si>
    <t>吴琼</t>
  </si>
  <si>
    <t>万旭装饰工程有限公司</t>
  </si>
  <si>
    <t>北京恩赫律师事务所</t>
  </si>
  <si>
    <t>沈昕阳</t>
  </si>
  <si>
    <t>王志博</t>
  </si>
  <si>
    <t>李天甲</t>
  </si>
  <si>
    <t>李杰</t>
  </si>
  <si>
    <t>宋春辉</t>
  </si>
  <si>
    <t>杨金仲</t>
  </si>
  <si>
    <t>盛帅</t>
  </si>
  <si>
    <t>范彭一澜</t>
  </si>
  <si>
    <t>郭秀花</t>
  </si>
  <si>
    <t>北京奇点视觉科技有限公司</t>
  </si>
  <si>
    <t>内蒙古金海五金机电市场有限公司管理分公司</t>
  </si>
  <si>
    <t>湖北荧光数加工场大数据有限公司</t>
  </si>
  <si>
    <t>王振海</t>
  </si>
  <si>
    <t>陈永渠</t>
  </si>
  <si>
    <t>沈宏革</t>
  </si>
  <si>
    <t>眼神智能工会</t>
  </si>
  <si>
    <t>张亚华</t>
  </si>
  <si>
    <t>上海乐子商务信息咨询中心</t>
  </si>
  <si>
    <t>沈洪革</t>
  </si>
  <si>
    <t>丁立健</t>
  </si>
  <si>
    <t>山东恩赫知识产权咨询有限公司</t>
  </si>
  <si>
    <t>西安米德电子科技有限公司</t>
  </si>
  <si>
    <t>中金金融认证中心有限公司</t>
  </si>
  <si>
    <t>陈瑞丹</t>
  </si>
  <si>
    <t>何笛</t>
  </si>
  <si>
    <t>李峰</t>
  </si>
  <si>
    <t>楠丁</t>
  </si>
  <si>
    <t>耐特智能锁业有限公司</t>
  </si>
  <si>
    <t>北京精准博创电子科技有限公司</t>
  </si>
  <si>
    <t>关云涛</t>
  </si>
  <si>
    <t>沧州永泰办公李士超</t>
  </si>
  <si>
    <t>芜湖昆腾商贸有限公司</t>
  </si>
  <si>
    <t>空1</t>
  </si>
  <si>
    <t>上海惠诚医疗科教器械股份有限公司</t>
  </si>
  <si>
    <t>山东梅亿邦赛电动车制造有限公司山东梅亿邦赛电动车制造有限公司</t>
  </si>
  <si>
    <t>广州耀瑞网络科技有限公司</t>
  </si>
  <si>
    <t>北京力德瑞诚科技有限公司</t>
  </si>
  <si>
    <t>中国科学院上海微系统信息研究所</t>
  </si>
  <si>
    <t>陈祺</t>
  </si>
  <si>
    <t>北京浙大快威科技有限公司</t>
  </si>
  <si>
    <t>王涛1</t>
  </si>
  <si>
    <t>高清</t>
  </si>
  <si>
    <t>马一方</t>
  </si>
  <si>
    <t>张炜明</t>
  </si>
  <si>
    <t>应付利息</t>
  </si>
  <si>
    <t>合计</t>
    <phoneticPr fontId="6" type="noConversion"/>
  </si>
  <si>
    <t>1年以内</t>
    <phoneticPr fontId="6" type="noConversion"/>
  </si>
  <si>
    <t xml:space="preserve">    深圳探日咨询管理有限公司</t>
  </si>
  <si>
    <t xml:space="preserve">    北京探月管理咨询合伙企业（有限合伙）</t>
  </si>
  <si>
    <t xml:space="preserve">    北京探星管理咨询合伙企业（有限合伙）</t>
  </si>
  <si>
    <t xml:space="preserve">    北京探辰管理咨询合伙企业（有限合伙）</t>
  </si>
  <si>
    <t xml:space="preserve">    先锋国盛启明星1号私募股权投资基金</t>
  </si>
  <si>
    <t>其他-股份支付</t>
    <phoneticPr fontId="6" type="noConversion"/>
  </si>
  <si>
    <t>对第三方收入</t>
    <phoneticPr fontId="6" type="noConversion"/>
  </si>
  <si>
    <t>北京眼神科技有限公司</t>
  </si>
  <si>
    <t>北京天诚智能科技有限公司</t>
  </si>
  <si>
    <t>山东眼神智能科技有限公司</t>
  </si>
  <si>
    <t>深圳爱酷智能科技有限公司</t>
  </si>
  <si>
    <t>深圳眼神智能科技有限公司</t>
  </si>
  <si>
    <t>北京探日咨询管理有限公司</t>
  </si>
  <si>
    <t>北京眼神智能科技有限公司</t>
  </si>
  <si>
    <t>北京眼神人工智能技术研究院</t>
  </si>
  <si>
    <t>上海眼神信息服务有限公司</t>
  </si>
  <si>
    <t>2018年</t>
    <phoneticPr fontId="6" type="noConversion"/>
  </si>
  <si>
    <t>是</t>
    <phoneticPr fontId="6" type="noConversion"/>
  </si>
  <si>
    <t>2018年</t>
    <phoneticPr fontId="6" type="noConversion"/>
  </si>
  <si>
    <t>集团的研发中心、生产中心</t>
  </si>
  <si>
    <t>原集团产品的专业销售公司，目前已无实际经营</t>
  </si>
  <si>
    <t>集团智慧校园领域的专项研发及销售公司</t>
  </si>
  <si>
    <t>原集团生产中心，业务于2019年11月转移至母公司，目前业务主要为虹膜锁的研发与生产</t>
  </si>
  <si>
    <t>集团社区反恐领域的专项研发及销售公司</t>
  </si>
  <si>
    <t>无实际经营</t>
  </si>
  <si>
    <t>金融行业的专业销售公司</t>
  </si>
  <si>
    <t>区域销售公司</t>
  </si>
  <si>
    <t>合计</t>
    <phoneticPr fontId="6" type="noConversion"/>
  </si>
  <si>
    <t>北京探星管理咨询合伙企业（有限合伙）</t>
  </si>
  <si>
    <t>北京探月管理咨询合伙企业（有限合伙）</t>
  </si>
  <si>
    <t>潘金华</t>
  </si>
  <si>
    <t>王丙光</t>
  </si>
  <si>
    <t>杨春林</t>
  </si>
  <si>
    <t>其他应收款</t>
    <phoneticPr fontId="6" type="noConversion"/>
  </si>
  <si>
    <t>其他应付款</t>
    <phoneticPr fontId="6" type="noConversion"/>
  </si>
  <si>
    <t>北京探辰管理咨询合伙企业（有限合伙）</t>
    <phoneticPr fontId="6" type="noConversion"/>
  </si>
  <si>
    <t>深圳探日咨询管理有限公司</t>
    <phoneticPr fontId="6" type="noConversion"/>
  </si>
  <si>
    <t>潘金华</t>
    <phoneticPr fontId="6" type="noConversion"/>
  </si>
  <si>
    <t>王厚金</t>
    <phoneticPr fontId="6" type="noConversion"/>
  </si>
  <si>
    <t>杨春林</t>
    <phoneticPr fontId="6" type="noConversion"/>
  </si>
  <si>
    <t>周军</t>
    <phoneticPr fontId="6" type="noConversion"/>
  </si>
  <si>
    <t>陈瑞丹</t>
    <phoneticPr fontId="6" type="noConversion"/>
  </si>
  <si>
    <t>货币资金</t>
    <phoneticPr fontId="6" type="noConversion"/>
  </si>
  <si>
    <t>山东眼神股东潘穷穷</t>
    <phoneticPr fontId="6" type="noConversion"/>
  </si>
  <si>
    <t>政府补助利得</t>
  </si>
  <si>
    <t>盘盈利得</t>
  </si>
  <si>
    <t>违约赔偿收入</t>
  </si>
  <si>
    <t>其他利得</t>
  </si>
  <si>
    <t>非流动资产处置损失</t>
  </si>
  <si>
    <t>盘亏损失</t>
  </si>
  <si>
    <t>罚款支出</t>
  </si>
  <si>
    <t>赔偿金、违约金及罚款支出</t>
  </si>
  <si>
    <t>其他支出</t>
  </si>
  <si>
    <t>无</t>
    <phoneticPr fontId="6" type="noConversion"/>
  </si>
  <si>
    <t>工商银行</t>
  </si>
  <si>
    <t>北京银行</t>
  </si>
  <si>
    <t>广发银行</t>
  </si>
  <si>
    <t>邮储银行</t>
  </si>
  <si>
    <t>雄安交行</t>
  </si>
  <si>
    <t>起</t>
    <phoneticPr fontId="6" type="noConversion"/>
  </si>
  <si>
    <t>止</t>
    <phoneticPr fontId="6" type="noConversion"/>
  </si>
  <si>
    <t>房产</t>
  </si>
  <si>
    <t>房产二抵</t>
  </si>
  <si>
    <t>信用贷款</t>
  </si>
  <si>
    <t>信用贷款，质押13个专利</t>
  </si>
  <si>
    <t>信用贷款，质押1个专利</t>
    <phoneticPr fontId="6" type="noConversion"/>
  </si>
  <si>
    <t>长期借款明细</t>
    <phoneticPr fontId="6" type="noConversion"/>
  </si>
  <si>
    <t>深圳农商行</t>
  </si>
  <si>
    <t>货币资金分类明细</t>
  </si>
  <si>
    <t>库存现金</t>
  </si>
  <si>
    <t>银行存款</t>
  </si>
  <si>
    <t>其他货币资金</t>
  </si>
  <si>
    <t>期末受限制货币资金</t>
  </si>
  <si>
    <t>银行存款明细（主要银行账户）</t>
  </si>
  <si>
    <t>开户行</t>
  </si>
  <si>
    <t>账号</t>
  </si>
  <si>
    <t>账户性质</t>
  </si>
  <si>
    <t>公司名称</t>
  </si>
  <si>
    <t>工商银行容城支行8102</t>
  </si>
  <si>
    <t>一般户</t>
  </si>
  <si>
    <t>北眼</t>
  </si>
  <si>
    <t>农业银行容城县支行8220</t>
  </si>
  <si>
    <t>保定容城支行0781</t>
  </si>
  <si>
    <t>545100000012019000781</t>
  </si>
  <si>
    <t>建设银行雄县支行0841</t>
  </si>
  <si>
    <t>13050166840800000841</t>
  </si>
  <si>
    <t>基本户</t>
  </si>
  <si>
    <t>华夏银行容城支行8838</t>
  </si>
  <si>
    <t>招商银行</t>
  </si>
  <si>
    <t>110934151010301</t>
  </si>
  <si>
    <t>北分</t>
  </si>
  <si>
    <t>北京银行股份有限公司中关村支行</t>
  </si>
  <si>
    <t>01090302900120105630205</t>
  </si>
  <si>
    <t>基本存款账户</t>
  </si>
  <si>
    <t>天诚智能</t>
  </si>
  <si>
    <t>招商银行股份有限公司北京西二旗支行</t>
  </si>
  <si>
    <t>110924929910401</t>
  </si>
  <si>
    <t>一般存款账户</t>
  </si>
  <si>
    <t>中国工商银行股份有限公司北京中关村支行</t>
  </si>
  <si>
    <t>0200095619200314797</t>
  </si>
  <si>
    <t>招商银行股份有限公司深圳宝安支行</t>
  </si>
  <si>
    <t>755942683210111</t>
  </si>
  <si>
    <t>北京眼神科技有限公司深圳分公司</t>
  </si>
  <si>
    <t>755939358010501</t>
  </si>
  <si>
    <t>北京眼神智能有限公司深圳分公司</t>
  </si>
  <si>
    <t>工商银行北京中关村支行</t>
  </si>
  <si>
    <t>0200095619200102864</t>
  </si>
  <si>
    <t>北眼智能</t>
  </si>
  <si>
    <t>北京银行建国支行</t>
  </si>
  <si>
    <t>20000042150300031479436</t>
  </si>
  <si>
    <t>广发银行北京东四环支行</t>
  </si>
  <si>
    <t>9550880212919100180</t>
  </si>
  <si>
    <t>招商银行股份有限公司上海江苏路支行</t>
  </si>
  <si>
    <t>121931679410909</t>
  </si>
  <si>
    <t>308290003134</t>
  </si>
  <si>
    <t>中国银行股份有限公司北京上地支行</t>
  </si>
  <si>
    <t>346767932091</t>
  </si>
  <si>
    <t>北京防务</t>
  </si>
  <si>
    <t>招商银行股份有限公司济南高新支行</t>
  </si>
  <si>
    <t>531904951410902</t>
  </si>
  <si>
    <t>招行银行深圳科发支行</t>
  </si>
  <si>
    <t>755931641810802</t>
  </si>
  <si>
    <t>深圳爱酷</t>
  </si>
  <si>
    <t>755931746110401</t>
  </si>
  <si>
    <t>深圳眼神</t>
  </si>
  <si>
    <t>交通银行股份有限公司郑州商鼎路支行</t>
  </si>
  <si>
    <t>411899991010004624884</t>
  </si>
  <si>
    <t>河南眼神</t>
  </si>
  <si>
    <t>跌价准备</t>
  </si>
  <si>
    <t>自制半成品</t>
  </si>
  <si>
    <t>委托加工物资</t>
  </si>
  <si>
    <t>资本化支出</t>
  </si>
  <si>
    <t>生产成本</t>
  </si>
  <si>
    <t>劳务成本</t>
  </si>
  <si>
    <t>应交税费-增值税-未交增值税(进项留底）</t>
    <phoneticPr fontId="6" type="noConversion"/>
  </si>
  <si>
    <t xml:space="preserve">  电子设备</t>
  </si>
  <si>
    <t xml:space="preserve">  办公家具</t>
  </si>
  <si>
    <t>房屋建筑</t>
  </si>
  <si>
    <t>机器设备</t>
  </si>
  <si>
    <t>运输工具</t>
  </si>
  <si>
    <t>虹膜识别知识产权</t>
  </si>
  <si>
    <t>投资者投入</t>
  </si>
  <si>
    <t>虹膜锁（技术服务）</t>
  </si>
  <si>
    <t>自研</t>
  </si>
  <si>
    <t>13860000000028838</t>
    <phoneticPr fontId="15" type="noConversion"/>
  </si>
  <si>
    <t>0413029019100138102</t>
    <phoneticPr fontId="15" type="noConversion"/>
  </si>
  <si>
    <t>50509101040018220</t>
    <phoneticPr fontId="15" type="noConversion"/>
  </si>
  <si>
    <t>河南智慧岛投资有限公司</t>
    <phoneticPr fontId="6" type="noConversion"/>
  </si>
  <si>
    <t>北京众和天下管理咨询有限公司</t>
    <phoneticPr fontId="6" type="noConversion"/>
  </si>
  <si>
    <t>北京亿欧网盟科技有限公司</t>
    <phoneticPr fontId="6" type="noConversion"/>
  </si>
  <si>
    <t>天津诚美智新企业管理咨询有限公司</t>
    <phoneticPr fontId="6" type="noConversion"/>
  </si>
  <si>
    <t>北京东方鸿润物业服务有限公司</t>
    <phoneticPr fontId="6" type="noConversion"/>
  </si>
  <si>
    <t>黄宏建股权转让个税</t>
    <phoneticPr fontId="6" type="noConversion"/>
  </si>
  <si>
    <t>本期资本公积调增，未分配利润调减</t>
    <phoneticPr fontId="6" type="noConversion"/>
  </si>
  <si>
    <t>预付货款</t>
    <phoneticPr fontId="6" type="noConversion"/>
  </si>
  <si>
    <t>预付房租</t>
    <phoneticPr fontId="6" type="noConversion"/>
  </si>
  <si>
    <t>预付培训费</t>
    <phoneticPr fontId="6" type="noConversion"/>
  </si>
  <si>
    <t>我公司北眼科技主要负责生产和研发，北眼智能主要负责销售，合并层面成本金额需要按照北眼科技的成本列示。前十大客户按照订单确收总额列示，因订单数量较多，每个订单产品不同，且相同产品每个月的成本也不尽相同，抵消难度较大，因此这里暂不提供。</t>
    <phoneticPr fontId="6" type="noConversion"/>
  </si>
  <si>
    <t>不适用</t>
    <phoneticPr fontId="6" type="noConversion"/>
  </si>
  <si>
    <r>
      <t>营业收入构成表（按地区分）-</t>
    </r>
    <r>
      <rPr>
        <b/>
        <sz val="11"/>
        <color rgb="FFFF0000"/>
        <rFont val="仿宋"/>
        <family val="3"/>
        <charset val="134"/>
      </rPr>
      <t>不适用</t>
    </r>
    <phoneticPr fontId="6" type="noConversion"/>
  </si>
  <si>
    <t>指纹类产品</t>
  </si>
  <si>
    <t>软件及运维服务类</t>
  </si>
  <si>
    <t>人脸类产品</t>
  </si>
  <si>
    <t>虹膜类产品</t>
  </si>
  <si>
    <t>集成类产品</t>
  </si>
  <si>
    <t>指静脉类产品</t>
  </si>
  <si>
    <t>硬件产品成本</t>
  </si>
  <si>
    <t>软件产品成本</t>
  </si>
  <si>
    <t>技术服务成本</t>
  </si>
  <si>
    <t>运维成本</t>
  </si>
  <si>
    <t>深圳南天东华科技有限公司</t>
  </si>
  <si>
    <t>指纹、人脸产品</t>
    <phoneticPr fontId="34" type="noConversion"/>
  </si>
  <si>
    <t>指纹、人脸产品</t>
  </si>
  <si>
    <t>指纹、人脸产品、软件类产品</t>
    <phoneticPr fontId="34" type="noConversion"/>
  </si>
  <si>
    <t>人脸产品、集成产品</t>
    <phoneticPr fontId="34" type="noConversion"/>
  </si>
  <si>
    <t>指纹、人脸和虹膜产品</t>
  </si>
  <si>
    <t>人脸产品、集成产品、软件类产品</t>
    <phoneticPr fontId="34" type="noConversion"/>
  </si>
  <si>
    <t>无</t>
    <phoneticPr fontId="6" type="noConversion"/>
  </si>
  <si>
    <t>浪潮软件集团有限公司</t>
  </si>
  <si>
    <t>北京创意云智数据技术有限公司</t>
  </si>
  <si>
    <t>虹膜产品</t>
    <phoneticPr fontId="34" type="noConversion"/>
  </si>
  <si>
    <t>人脸类产品</t>
    <phoneticPr fontId="34" type="noConversion"/>
  </si>
  <si>
    <t>指纹产品</t>
    <phoneticPr fontId="34" type="noConversion"/>
  </si>
  <si>
    <t>河北雄安睿谋商贸有限公司</t>
  </si>
  <si>
    <t>广电运通金融电子股份有限公司</t>
  </si>
  <si>
    <t>恒银金融科技有限公司</t>
  </si>
  <si>
    <t>人脸产品、软件类产品</t>
    <phoneticPr fontId="34" type="noConversion"/>
  </si>
  <si>
    <t>指纹产品</t>
  </si>
  <si>
    <t>人脸产品</t>
    <phoneticPr fontId="34" type="noConversion"/>
  </si>
  <si>
    <t>深圳市优宝益电子科技有限公司</t>
  </si>
  <si>
    <t>广东天波信息技术股份有限公司</t>
  </si>
  <si>
    <t>深圳市鑫科特光电有限公司</t>
  </si>
  <si>
    <t>江苏邦融微电子有限公司</t>
  </si>
  <si>
    <t>上海睿徕实业有限公司</t>
  </si>
  <si>
    <t>湖南博泰供应链管理有限公司</t>
  </si>
  <si>
    <t>传感器</t>
  </si>
  <si>
    <t>否</t>
  </si>
  <si>
    <t>芯片</t>
  </si>
  <si>
    <t>集成产品</t>
  </si>
  <si>
    <t>镜头</t>
  </si>
  <si>
    <t>线材</t>
  </si>
  <si>
    <t>深圳市优吉盛有限公司</t>
  </si>
  <si>
    <t>深圳市博科供应链管理有限公司</t>
  </si>
  <si>
    <t>深圳市维德路电子有限公司</t>
  </si>
  <si>
    <t>壳体</t>
  </si>
  <si>
    <t>深圳冠伦生物科技有限公司</t>
  </si>
  <si>
    <t>杭州晟元数据安全技术股份有限公司</t>
  </si>
  <si>
    <t>北京美尔达科技发展有限公司</t>
  </si>
  <si>
    <t>深圳市富士智能系统有限公司</t>
  </si>
  <si>
    <t>电子料</t>
  </si>
  <si>
    <t>闸机</t>
  </si>
  <si>
    <t>人脸识别闸机头</t>
  </si>
  <si>
    <t>根据公司历史毛利率</t>
  </si>
  <si>
    <t>根据税负</t>
  </si>
  <si>
    <t>上市后不再进行短期贷款</t>
  </si>
  <si>
    <t>增值税即征即退收入</t>
  </si>
  <si>
    <t>获取政府补贴</t>
  </si>
  <si>
    <t>根据今年战略目标</t>
    <phoneticPr fontId="6" type="noConversion"/>
  </si>
  <si>
    <t>结合历史数据推算，上市后品牌效应会带来销售费用率降低，结合销售人员配备：20E:60人及其和人相关的费用</t>
    <phoneticPr fontId="6" type="noConversion"/>
  </si>
  <si>
    <t>结合历史数据推算，上市后引进高端人才，20E:50人及其和人相关的费用</t>
    <phoneticPr fontId="6" type="noConversion"/>
  </si>
  <si>
    <t>上市后公司加大研发投入：20E:100多人及其和人相关的费用，保持研发投入不低于收入的15%</t>
    <phoneticPr fontId="6" type="noConversion"/>
  </si>
  <si>
    <t>后续页项目所须填写的所有数据均为合并层面数据。</t>
    <phoneticPr fontId="6" type="noConversion"/>
  </si>
  <si>
    <t>人员预测</t>
    <phoneticPr fontId="6" type="noConversion"/>
  </si>
  <si>
    <t>房租</t>
    <phoneticPr fontId="6" type="noConversion"/>
  </si>
  <si>
    <t>不涉及</t>
    <phoneticPr fontId="6" type="noConversion"/>
  </si>
  <si>
    <t>总裁办</t>
  </si>
  <si>
    <t>研发</t>
  </si>
  <si>
    <t>营销市场</t>
  </si>
  <si>
    <t>运营</t>
  </si>
  <si>
    <t>人力行政</t>
  </si>
  <si>
    <t>财务</t>
  </si>
  <si>
    <t>单位：元</t>
    <phoneticPr fontId="6" type="noConversion"/>
  </si>
  <si>
    <t>除了员工薪酬表单位：元，其他表单位：万元</t>
    <phoneticPr fontId="6" type="noConversion"/>
  </si>
  <si>
    <t>已提供</t>
    <phoneticPr fontId="6" type="noConversion"/>
  </si>
  <si>
    <r>
      <t>贵公司近两年一期合并报表、母子单体报表（纸质敲公章件）；</t>
    </r>
    <r>
      <rPr>
        <sz val="12"/>
        <rFont val="仿宋"/>
        <family val="3"/>
        <charset val="134"/>
      </rPr>
      <t>已提供</t>
    </r>
    <phoneticPr fontId="6" type="noConversion"/>
  </si>
  <si>
    <r>
      <t>贵公司母子公司最新企业征信报告（纸质敲公章件）；</t>
    </r>
    <r>
      <rPr>
        <sz val="12"/>
        <rFont val="仿宋"/>
        <family val="3"/>
        <charset val="134"/>
      </rPr>
      <t>已提供</t>
    </r>
    <phoneticPr fontId="6" type="noConversion"/>
  </si>
  <si>
    <t>贵公司近两年一期合并、单体审计报告；已提供</t>
    <phoneticPr fontId="6" type="noConversion"/>
  </si>
  <si>
    <t>贵公司近两年一期合并报表的合并抵消分录、合并过程底稿；已提供</t>
    <phoneticPr fontId="6" type="noConversion"/>
  </si>
  <si>
    <t>贵公司母子公司近两年一期电子明细账（序时账及科目余额表末级）；已提供</t>
    <phoneticPr fontId="6" type="noConversion"/>
  </si>
  <si>
    <t>各公司最新固定资产卡片账；已提供</t>
    <phoneticPr fontId="6" type="noConversion"/>
  </si>
  <si>
    <t>请仔细填写后续相关报表附注内容。已提供</t>
    <phoneticPr fontId="6" type="noConversion"/>
  </si>
  <si>
    <t>贵公司近两年一期合并层面按客户列式或合同列式的收入成本台账；不适用</t>
    <phoneticPr fontId="6" type="noConversion"/>
  </si>
  <si>
    <r>
      <t>贵公司近两年一期利润分配文件；</t>
    </r>
    <r>
      <rPr>
        <sz val="12"/>
        <color theme="1"/>
        <rFont val="仿宋"/>
        <family val="3"/>
        <charset val="134"/>
      </rPr>
      <t>不适用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</si>
</sst>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 #,##0_ ;_ * \-#,##0_ ;_ * &quot;-&quot;_ ;_ @_ "/>
    <numFmt numFmtId="43" formatCode="_ * #,##0.00_ ;_ * \-#,##0.00_ ;_ * &quot;-&quot;??_ ;_ @_ "/>
    <numFmt numFmtId="176" formatCode="_-* #,##0_-;\-* #,##0_-;_-* &quot;-&quot;_-;_-@_-"/>
    <numFmt numFmtId="177" formatCode="#,##0.00_ "/>
    <numFmt numFmtId="178" formatCode="0.0%"/>
    <numFmt numFmtId="179" formatCode="0.00_);[Red]\(0.00\)"/>
    <numFmt numFmtId="180" formatCode="0.00_ "/>
    <numFmt numFmtId="181" formatCode="&quot;￥&quot;#,##0.00;&quot;￥&quot;\-#,##0.00"/>
    <numFmt numFmtId="182" formatCode="[$-F800]dddd\,\ mmmm\ dd\,\ yyyy"/>
    <numFmt numFmtId="183" formatCode="0_ "/>
    <numFmt numFmtId="184" formatCode="_ * #,##0_ ;_ * \-#,##0_ ;_ * &quot;-&quot;??_ ;_ @_ "/>
    <numFmt numFmtId="185" formatCode="0.000%"/>
    <numFmt numFmtId="186" formatCode="yyyy/mm/dd"/>
    <numFmt numFmtId="187" formatCode="#,##0.00_ ;[Red]\-#,##0.00\ "/>
  </numFmts>
  <fonts count="37">
    <font>
      <sz val="12"/>
      <name val="宋体"/>
      <charset val="134"/>
    </font>
    <font>
      <sz val="11"/>
      <color theme="1"/>
      <name val="宋体"/>
      <family val="2"/>
      <scheme val="minor"/>
    </font>
    <font>
      <sz val="8"/>
      <name val="Times New Roman"/>
      <family val="1"/>
    </font>
    <font>
      <sz val="11"/>
      <color indexed="8"/>
      <name val="宋体"/>
      <family val="3"/>
      <charset val="134"/>
    </font>
    <font>
      <sz val="12"/>
      <name val="Times New Roman"/>
      <family val="1"/>
    </font>
    <font>
      <sz val="12"/>
      <name val="宋体"/>
      <family val="3"/>
      <charset val="134"/>
    </font>
    <font>
      <sz val="9"/>
      <name val="宋体"/>
      <family val="3"/>
      <charset val="134"/>
    </font>
    <font>
      <sz val="11"/>
      <name val="仿宋"/>
      <family val="3"/>
      <charset val="134"/>
    </font>
    <font>
      <sz val="11"/>
      <color indexed="8"/>
      <name val="仿宋"/>
      <family val="3"/>
      <charset val="134"/>
    </font>
    <font>
      <b/>
      <sz val="12"/>
      <name val="仿宋"/>
      <family val="3"/>
      <charset val="134"/>
    </font>
    <font>
      <sz val="12"/>
      <name val="仿宋"/>
      <family val="3"/>
      <charset val="134"/>
    </font>
    <font>
      <b/>
      <sz val="11"/>
      <name val="仿宋"/>
      <family val="3"/>
      <charset val="134"/>
    </font>
    <font>
      <sz val="11"/>
      <color theme="1"/>
      <name val="仿宋"/>
      <family val="3"/>
      <charset val="134"/>
    </font>
    <font>
      <b/>
      <sz val="12"/>
      <color rgb="FFFF0000"/>
      <name val="仿宋"/>
      <family val="3"/>
      <charset val="134"/>
    </font>
    <font>
      <sz val="9"/>
      <color indexed="81"/>
      <name val="宋体"/>
      <family val="3"/>
      <charset val="134"/>
    </font>
    <font>
      <sz val="9"/>
      <name val="宋体"/>
      <family val="2"/>
      <charset val="134"/>
      <scheme val="minor"/>
    </font>
    <font>
      <b/>
      <sz val="11"/>
      <color theme="1"/>
      <name val="仿宋"/>
      <family val="3"/>
      <charset val="134"/>
    </font>
    <font>
      <sz val="11"/>
      <color rgb="FF000000"/>
      <name val="仿宋"/>
      <family val="3"/>
      <charset val="134"/>
    </font>
    <font>
      <sz val="10"/>
      <name val="Times New Roman"/>
      <family val="1"/>
    </font>
    <font>
      <b/>
      <sz val="11"/>
      <color indexed="8"/>
      <name val="仿宋"/>
      <family val="3"/>
      <charset val="134"/>
    </font>
    <font>
      <i/>
      <sz val="11"/>
      <color indexed="8"/>
      <name val="仿宋"/>
      <family val="3"/>
      <charset val="134"/>
    </font>
    <font>
      <i/>
      <sz val="11"/>
      <name val="仿宋"/>
      <family val="3"/>
      <charset val="134"/>
    </font>
    <font>
      <i/>
      <sz val="11"/>
      <color theme="1"/>
      <name val="仿宋"/>
      <family val="3"/>
      <charset val="134"/>
    </font>
    <font>
      <b/>
      <sz val="11"/>
      <color rgb="FFFF0000"/>
      <name val="仿宋"/>
      <family val="3"/>
      <charset val="134"/>
    </font>
    <font>
      <u/>
      <sz val="12"/>
      <color theme="10"/>
      <name val="宋体"/>
      <family val="3"/>
      <charset val="134"/>
    </font>
    <font>
      <sz val="11"/>
      <color theme="1"/>
      <name val="宋体"/>
      <family val="3"/>
      <charset val="134"/>
      <scheme val="minor"/>
    </font>
    <font>
      <sz val="10"/>
      <color theme="1"/>
      <name val="Arial Narrow"/>
      <family val="2"/>
    </font>
    <font>
      <sz val="12"/>
      <color theme="1"/>
      <name val="宋体"/>
      <family val="3"/>
      <charset val="134"/>
      <scheme val="minor"/>
    </font>
    <font>
      <sz val="12"/>
      <name val="Arial Unicode MS"/>
      <family val="2"/>
      <charset val="134"/>
    </font>
    <font>
      <sz val="12"/>
      <color theme="1"/>
      <name val="Arial Unicode MS"/>
      <family val="2"/>
      <charset val="134"/>
    </font>
    <font>
      <sz val="11"/>
      <color rgb="FFFF0000"/>
      <name val="仿宋"/>
      <family val="3"/>
      <charset val="134"/>
    </font>
    <font>
      <sz val="10"/>
      <name val="宋体"/>
      <family val="3"/>
      <charset val="134"/>
    </font>
    <font>
      <sz val="10"/>
      <color rgb="FF000000"/>
      <name val="宋体"/>
      <family val="3"/>
      <charset val="134"/>
    </font>
    <font>
      <sz val="10"/>
      <color theme="1"/>
      <name val="宋体"/>
      <family val="3"/>
      <charset val="134"/>
    </font>
    <font>
      <sz val="9"/>
      <name val="宋体"/>
      <family val="3"/>
      <charset val="134"/>
      <scheme val="minor"/>
    </font>
    <font>
      <sz val="12"/>
      <color rgb="FFFF0000"/>
      <name val="仿宋"/>
      <family val="3"/>
      <charset val="134"/>
    </font>
    <font>
      <sz val="12"/>
      <color theme="1"/>
      <name val="仿宋"/>
      <family val="3"/>
      <charset val="134"/>
    </font>
  </fonts>
  <fills count="9">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3" tint="0.79995117038483843"/>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medium">
        <color indexed="64"/>
      </bottom>
      <diagonal/>
    </border>
    <border>
      <left style="medium">
        <color auto="1"/>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32">
    <xf numFmtId="0" fontId="0" fillId="0" borderId="0">
      <alignment vertical="center"/>
    </xf>
    <xf numFmtId="43" fontId="5" fillId="0" borderId="0" applyFont="0" applyFill="0" applyBorder="0" applyAlignment="0" applyProtection="0">
      <alignment vertical="center"/>
    </xf>
    <xf numFmtId="0" fontId="2" fillId="0" borderId="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alignment vertical="center"/>
    </xf>
    <xf numFmtId="0" fontId="5" fillId="0" borderId="0"/>
    <xf numFmtId="0" fontId="5" fillId="0" borderId="0">
      <alignment vertical="center"/>
    </xf>
    <xf numFmtId="176" fontId="5" fillId="0" borderId="0" applyFont="0" applyFill="0" applyBorder="0" applyAlignment="0" applyProtection="0">
      <alignment vertical="center"/>
    </xf>
    <xf numFmtId="0" fontId="5" fillId="0" borderId="0"/>
    <xf numFmtId="0" fontId="5" fillId="0" borderId="0">
      <alignment vertical="top"/>
    </xf>
    <xf numFmtId="9" fontId="5" fillId="0" borderId="0" applyFont="0" applyFill="0" applyBorder="0" applyAlignment="0" applyProtection="0">
      <alignment vertical="center"/>
    </xf>
    <xf numFmtId="0" fontId="3" fillId="0" borderId="0"/>
    <xf numFmtId="0" fontId="5" fillId="0" borderId="0">
      <alignment vertical="center"/>
    </xf>
    <xf numFmtId="0" fontId="3" fillId="0" borderId="0">
      <alignment vertical="center"/>
    </xf>
    <xf numFmtId="43" fontId="5" fillId="0" borderId="0" applyFont="0" applyFill="0" applyBorder="0" applyAlignment="0" applyProtection="0"/>
    <xf numFmtId="0" fontId="4" fillId="0" borderId="0" applyFill="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9" fontId="5" fillId="0" borderId="0" applyFont="0" applyFill="0" applyBorder="0" applyAlignment="0" applyProtection="0">
      <alignment vertical="center"/>
    </xf>
    <xf numFmtId="43" fontId="5" fillId="0" borderId="0" applyFont="0" applyFill="0" applyBorder="0" applyAlignment="0" applyProtection="0">
      <alignment vertical="center"/>
    </xf>
    <xf numFmtId="0" fontId="18" fillId="0" borderId="0">
      <protection locked="0"/>
    </xf>
    <xf numFmtId="0" fontId="1" fillId="0" borderId="0"/>
    <xf numFmtId="43" fontId="1" fillId="0" borderId="0" applyFont="0" applyFill="0" applyBorder="0" applyAlignment="0" applyProtection="0">
      <alignment vertical="center"/>
    </xf>
    <xf numFmtId="0" fontId="24" fillId="0" borderId="0" applyNumberFormat="0" applyFill="0" applyBorder="0" applyAlignment="0" applyProtection="0">
      <alignment vertical="center"/>
    </xf>
    <xf numFmtId="43" fontId="25" fillId="0" borderId="0" applyFont="0" applyFill="0" applyBorder="0" applyAlignment="0" applyProtection="0">
      <alignment vertical="center"/>
    </xf>
  </cellStyleXfs>
  <cellXfs count="255">
    <xf numFmtId="0" fontId="0" fillId="0" borderId="0" xfId="0">
      <alignment vertical="center"/>
    </xf>
    <xf numFmtId="0" fontId="7" fillId="0" borderId="1" xfId="0" applyFont="1" applyBorder="1" applyAlignment="1">
      <alignment horizontal="left" vertical="center"/>
    </xf>
    <xf numFmtId="43" fontId="7" fillId="0" borderId="1" xfId="0" applyNumberFormat="1" applyFont="1" applyBorder="1" applyAlignment="1">
      <alignment horizontal="left" vertical="center"/>
    </xf>
    <xf numFmtId="10" fontId="8" fillId="0" borderId="1" xfId="0" applyNumberFormat="1" applyFont="1" applyBorder="1" applyAlignment="1">
      <alignment horizontal="right" vertical="top" wrapText="1"/>
    </xf>
    <xf numFmtId="0" fontId="7" fillId="0" borderId="1" xfId="0" applyFont="1" applyBorder="1">
      <alignment vertical="center"/>
    </xf>
    <xf numFmtId="0" fontId="8" fillId="0" borderId="1" xfId="0" applyFont="1" applyBorder="1" applyAlignment="1">
      <alignment horizontal="left" vertical="center"/>
    </xf>
    <xf numFmtId="43" fontId="8" fillId="0" borderId="1" xfId="0" applyNumberFormat="1" applyFont="1" applyBorder="1" applyAlignment="1">
      <alignment horizontal="left" vertical="center"/>
    </xf>
    <xf numFmtId="0" fontId="10" fillId="0" borderId="0" xfId="0" applyFont="1">
      <alignment vertical="center"/>
    </xf>
    <xf numFmtId="0" fontId="7" fillId="0" borderId="0" xfId="0" applyFont="1">
      <alignment vertical="center"/>
    </xf>
    <xf numFmtId="0" fontId="7" fillId="0" borderId="1" xfId="0" applyFont="1" applyBorder="1" applyAlignment="1"/>
    <xf numFmtId="43" fontId="7" fillId="0" borderId="1" xfId="0" applyNumberFormat="1" applyFont="1" applyBorder="1" applyAlignment="1">
      <alignment horizontal="center" vertical="center"/>
    </xf>
    <xf numFmtId="0" fontId="7" fillId="0" borderId="1" xfId="0" applyFont="1" applyBorder="1" applyAlignment="1">
      <alignment horizontal="center" vertical="center"/>
    </xf>
    <xf numFmtId="10" fontId="7" fillId="0" borderId="1" xfId="0" applyNumberFormat="1" applyFont="1" applyBorder="1" applyAlignment="1">
      <alignment horizontal="center" vertical="center"/>
    </xf>
    <xf numFmtId="0" fontId="11" fillId="0" borderId="0" xfId="0" applyFont="1">
      <alignment vertical="center"/>
    </xf>
    <xf numFmtId="41" fontId="7" fillId="0" borderId="1" xfId="0" applyNumberFormat="1" applyFont="1" applyBorder="1" applyAlignment="1">
      <alignment horizontal="center" vertical="center"/>
    </xf>
    <xf numFmtId="178" fontId="7" fillId="0" borderId="1" xfId="0" applyNumberFormat="1" applyFont="1" applyBorder="1" applyAlignment="1">
      <alignment horizontal="center" vertical="center"/>
    </xf>
    <xf numFmtId="41" fontId="7" fillId="0" borderId="0" xfId="0" applyNumberFormat="1" applyFont="1">
      <alignment vertical="center"/>
    </xf>
    <xf numFmtId="178" fontId="7" fillId="0" borderId="0" xfId="0" applyNumberFormat="1" applyFont="1">
      <alignment vertical="center"/>
    </xf>
    <xf numFmtId="41" fontId="7" fillId="0" borderId="1" xfId="0" applyNumberFormat="1" applyFont="1" applyBorder="1">
      <alignment vertical="center"/>
    </xf>
    <xf numFmtId="180" fontId="7" fillId="0" borderId="1" xfId="0" applyNumberFormat="1" applyFont="1" applyBorder="1" applyAlignment="1"/>
    <xf numFmtId="180" fontId="12" fillId="0" borderId="1" xfId="0" applyNumberFormat="1" applyFont="1" applyBorder="1" applyAlignment="1"/>
    <xf numFmtId="180" fontId="12" fillId="0" borderId="0" xfId="0" applyNumberFormat="1" applyFont="1" applyAlignment="1"/>
    <xf numFmtId="181" fontId="7" fillId="0" borderId="0" xfId="0" applyNumberFormat="1" applyFont="1" applyAlignment="1"/>
    <xf numFmtId="43" fontId="7" fillId="0" borderId="1" xfId="1" applyFont="1" applyBorder="1" applyAlignment="1"/>
    <xf numFmtId="43" fontId="7" fillId="0" borderId="1" xfId="1" applyFont="1" applyBorder="1">
      <alignment vertical="center"/>
    </xf>
    <xf numFmtId="0" fontId="12" fillId="0" borderId="1" xfId="0" applyFont="1" applyBorder="1" applyAlignment="1">
      <alignment horizontal="left" vertical="center"/>
    </xf>
    <xf numFmtId="0" fontId="12" fillId="0" borderId="1" xfId="0" applyFont="1" applyBorder="1">
      <alignment vertical="center"/>
    </xf>
    <xf numFmtId="0" fontId="12" fillId="0" borderId="1" xfId="0" applyFont="1" applyBorder="1" applyAlignment="1"/>
    <xf numFmtId="43" fontId="7" fillId="0" borderId="1" xfId="1" quotePrefix="1" applyFont="1" applyBorder="1" applyAlignment="1"/>
    <xf numFmtId="43" fontId="7" fillId="0" borderId="1" xfId="1" applyFont="1" applyBorder="1" applyAlignment="1">
      <alignment horizontal="right" vertical="center"/>
    </xf>
    <xf numFmtId="43" fontId="7" fillId="0" borderId="1" xfId="0" applyNumberFormat="1" applyFont="1" applyBorder="1" applyAlignment="1">
      <alignment horizontal="center"/>
    </xf>
    <xf numFmtId="179" fontId="7" fillId="0" borderId="1" xfId="0" applyNumberFormat="1" applyFont="1" applyBorder="1" applyAlignment="1"/>
    <xf numFmtId="177" fontId="12" fillId="0" borderId="1" xfId="0" applyNumberFormat="1" applyFont="1" applyBorder="1">
      <alignment vertical="center"/>
    </xf>
    <xf numFmtId="0" fontId="11" fillId="0" borderId="0" xfId="0" applyFont="1" applyAlignment="1">
      <alignment horizontal="center" vertical="center"/>
    </xf>
    <xf numFmtId="43" fontId="7" fillId="0" borderId="0" xfId="1" applyFont="1">
      <alignment vertical="center"/>
    </xf>
    <xf numFmtId="0" fontId="12" fillId="0" borderId="1" xfId="0" applyFont="1" applyBorder="1" applyAlignment="1">
      <alignment horizontal="center" vertical="center"/>
    </xf>
    <xf numFmtId="0" fontId="7" fillId="0" borderId="0" xfId="0" applyFont="1" applyAlignment="1">
      <alignment horizontal="center" vertical="center"/>
    </xf>
    <xf numFmtId="43" fontId="7" fillId="0" borderId="0" xfId="0" applyNumberFormat="1" applyFont="1" applyAlignment="1">
      <alignment horizontal="center" vertical="center"/>
    </xf>
    <xf numFmtId="10" fontId="7" fillId="0" borderId="0" xfId="0" applyNumberFormat="1" applyFont="1" applyAlignment="1">
      <alignment horizontal="center" vertical="center"/>
    </xf>
    <xf numFmtId="182" fontId="7" fillId="0" borderId="0" xfId="0" applyNumberFormat="1" applyFont="1">
      <alignment vertical="center"/>
    </xf>
    <xf numFmtId="0" fontId="13" fillId="0" borderId="0" xfId="0" applyFont="1">
      <alignment vertical="center"/>
    </xf>
    <xf numFmtId="0" fontId="9" fillId="0" borderId="0" xfId="0" applyFont="1">
      <alignment vertical="center"/>
    </xf>
    <xf numFmtId="10" fontId="7" fillId="0" borderId="0" xfId="0" applyNumberFormat="1" applyFont="1">
      <alignment vertical="center"/>
    </xf>
    <xf numFmtId="43" fontId="7" fillId="0" borderId="0" xfId="0" applyNumberFormat="1" applyFont="1">
      <alignment vertical="center"/>
    </xf>
    <xf numFmtId="0" fontId="8" fillId="0" borderId="1" xfId="0" applyFont="1" applyBorder="1" applyAlignment="1">
      <alignment horizontal="justify" vertical="top" wrapText="1"/>
    </xf>
    <xf numFmtId="0" fontId="7" fillId="0" borderId="1" xfId="0" applyFont="1" applyBorder="1" applyAlignment="1">
      <alignment horizontal="left"/>
    </xf>
    <xf numFmtId="43" fontId="7" fillId="0" borderId="1" xfId="0" applyNumberFormat="1" applyFont="1" applyBorder="1" applyAlignment="1">
      <alignment horizontal="left"/>
    </xf>
    <xf numFmtId="10" fontId="7" fillId="0" borderId="1" xfId="0" applyNumberFormat="1" applyFont="1" applyBorder="1">
      <alignment vertical="center"/>
    </xf>
    <xf numFmtId="177" fontId="7" fillId="0" borderId="1" xfId="0" applyNumberFormat="1" applyFont="1" applyBorder="1" applyAlignment="1">
      <alignment horizontal="right" vertical="center"/>
    </xf>
    <xf numFmtId="10" fontId="7" fillId="0" borderId="1" xfId="0" applyNumberFormat="1" applyFont="1" applyBorder="1" applyAlignment="1">
      <alignment horizontal="right" vertical="center"/>
    </xf>
    <xf numFmtId="43" fontId="8" fillId="0" borderId="0" xfId="0" applyNumberFormat="1" applyFont="1" applyAlignment="1">
      <alignment horizontal="left" vertical="center"/>
    </xf>
    <xf numFmtId="177" fontId="7" fillId="0" borderId="0" xfId="0" applyNumberFormat="1" applyFont="1">
      <alignment vertical="center"/>
    </xf>
    <xf numFmtId="0" fontId="7" fillId="0" borderId="0" xfId="0" applyFont="1" applyAlignment="1">
      <alignment horizontal="justify" vertical="center" wrapText="1"/>
    </xf>
    <xf numFmtId="0" fontId="8" fillId="3" borderId="1" xfId="0" applyFont="1" applyFill="1" applyBorder="1" applyAlignment="1">
      <alignment horizontal="center" vertical="top" wrapText="1"/>
    </xf>
    <xf numFmtId="0" fontId="8" fillId="3" borderId="1" xfId="0" applyFont="1" applyFill="1" applyBorder="1" applyAlignment="1">
      <alignment horizontal="center" vertical="center"/>
    </xf>
    <xf numFmtId="31" fontId="8" fillId="3" borderId="1" xfId="0" applyNumberFormat="1" applyFont="1" applyFill="1" applyBorder="1" applyAlignment="1">
      <alignment horizontal="center" vertical="top" wrapText="1"/>
    </xf>
    <xf numFmtId="49" fontId="8" fillId="3" borderId="1" xfId="0" applyNumberFormat="1" applyFont="1" applyFill="1" applyBorder="1" applyAlignment="1">
      <alignment horizontal="center" vertical="top" wrapText="1"/>
    </xf>
    <xf numFmtId="0" fontId="12" fillId="0" borderId="0" xfId="0" applyFont="1">
      <alignment vertical="center"/>
    </xf>
    <xf numFmtId="0" fontId="7"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3"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wrapText="1"/>
      <protection locked="0"/>
    </xf>
    <xf numFmtId="41" fontId="7" fillId="3" borderId="1" xfId="0" applyNumberFormat="1" applyFont="1" applyFill="1" applyBorder="1" applyAlignment="1">
      <alignment horizontal="center" vertical="center"/>
    </xf>
    <xf numFmtId="178" fontId="7" fillId="3" borderId="1" xfId="0" applyNumberFormat="1" applyFont="1" applyFill="1" applyBorder="1" applyAlignment="1">
      <alignment horizontal="center" vertical="center"/>
    </xf>
    <xf numFmtId="43" fontId="7" fillId="3" borderId="1" xfId="0" applyNumberFormat="1" applyFont="1" applyFill="1" applyBorder="1" applyAlignment="1">
      <alignment horizontal="center" vertical="center"/>
    </xf>
    <xf numFmtId="43" fontId="7" fillId="0" borderId="0" xfId="15" applyFont="1" applyProtection="1">
      <protection locked="0"/>
    </xf>
    <xf numFmtId="43" fontId="7" fillId="0" borderId="1" xfId="1" applyFont="1" applyBorder="1" applyAlignment="1" applyProtection="1">
      <protection locked="0"/>
    </xf>
    <xf numFmtId="43" fontId="7" fillId="3" borderId="1" xfId="1" applyFont="1" applyFill="1" applyBorder="1" applyAlignment="1">
      <alignment horizontal="center" vertical="center"/>
    </xf>
    <xf numFmtId="31" fontId="7" fillId="3" borderId="1" xfId="1" quotePrefix="1" applyNumberFormat="1" applyFont="1" applyFill="1" applyBorder="1" applyAlignment="1">
      <alignment horizontal="center" vertical="center"/>
    </xf>
    <xf numFmtId="10" fontId="7" fillId="3" borderId="1" xfId="25" applyNumberFormat="1" applyFont="1" applyFill="1" applyBorder="1" applyAlignment="1">
      <alignment horizontal="center" vertical="center"/>
    </xf>
    <xf numFmtId="43" fontId="12" fillId="0" borderId="1" xfId="1" applyFont="1" applyBorder="1">
      <alignment vertical="center"/>
    </xf>
    <xf numFmtId="10" fontId="12" fillId="0" borderId="1" xfId="25" applyNumberFormat="1" applyFont="1" applyBorder="1">
      <alignment vertical="center"/>
    </xf>
    <xf numFmtId="10" fontId="7" fillId="0" borderId="1" xfId="25" applyNumberFormat="1" applyFont="1" applyBorder="1">
      <alignment vertical="center"/>
    </xf>
    <xf numFmtId="10" fontId="7" fillId="0" borderId="0" xfId="25" applyNumberFormat="1" applyFont="1">
      <alignment vertical="center"/>
    </xf>
    <xf numFmtId="0" fontId="8" fillId="0" borderId="1" xfId="13" quotePrefix="1" applyFont="1" applyBorder="1">
      <alignment vertical="center"/>
    </xf>
    <xf numFmtId="0" fontId="8" fillId="0" borderId="1" xfId="13" quotePrefix="1" applyFont="1" applyBorder="1" applyAlignment="1">
      <alignment horizontal="left" vertical="center"/>
    </xf>
    <xf numFmtId="0" fontId="8" fillId="0" borderId="1" xfId="14" quotePrefix="1" applyFont="1" applyBorder="1" applyAlignment="1">
      <alignment horizontal="left" vertical="center"/>
    </xf>
    <xf numFmtId="0" fontId="8" fillId="0" borderId="1" xfId="14" quotePrefix="1" applyFont="1" applyBorder="1">
      <alignment vertical="center"/>
    </xf>
    <xf numFmtId="0" fontId="8" fillId="0" borderId="1" xfId="14" applyFont="1" applyBorder="1" applyAlignment="1">
      <alignment horizontal="left" vertical="center"/>
    </xf>
    <xf numFmtId="43" fontId="12" fillId="3" borderId="1" xfId="0" applyNumberFormat="1" applyFont="1" applyFill="1" applyBorder="1" applyAlignment="1">
      <alignment horizontal="center" vertical="center"/>
    </xf>
    <xf numFmtId="0" fontId="16" fillId="0" borderId="0" xfId="0" applyFont="1">
      <alignment vertical="center"/>
    </xf>
    <xf numFmtId="183" fontId="17" fillId="0" borderId="1" xfId="0" applyNumberFormat="1" applyFont="1" applyBorder="1" applyAlignment="1">
      <alignment horizontal="right" vertical="center"/>
    </xf>
    <xf numFmtId="43" fontId="17" fillId="0" borderId="1" xfId="0" applyNumberFormat="1" applyFont="1" applyBorder="1" applyAlignment="1">
      <alignment horizontal="right" vertical="center"/>
    </xf>
    <xf numFmtId="0" fontId="17" fillId="0" borderId="1" xfId="0" applyFont="1" applyBorder="1" applyAlignment="1">
      <alignment horizontal="left" vertical="center"/>
    </xf>
    <xf numFmtId="0" fontId="17" fillId="3" borderId="1" xfId="0" applyFont="1" applyFill="1" applyBorder="1" applyAlignment="1">
      <alignment horizontal="center" vertical="center" wrapText="1"/>
    </xf>
    <xf numFmtId="43" fontId="12" fillId="0" borderId="1" xfId="0" applyNumberFormat="1" applyFont="1" applyBorder="1" applyAlignment="1">
      <alignment horizontal="right" vertical="center"/>
    </xf>
    <xf numFmtId="43" fontId="7" fillId="0" borderId="1" xfId="27" applyNumberFormat="1" applyFont="1" applyBorder="1" applyAlignment="1" applyProtection="1">
      <alignment horizontal="right"/>
    </xf>
    <xf numFmtId="10" fontId="7" fillId="0" borderId="1" xfId="25" applyNumberFormat="1" applyFont="1" applyBorder="1" applyAlignment="1">
      <alignment horizontal="right"/>
    </xf>
    <xf numFmtId="0" fontId="8" fillId="3" borderId="1" xfId="14" quotePrefix="1" applyFont="1" applyFill="1" applyBorder="1" applyAlignment="1">
      <alignment horizontal="center" vertical="center"/>
    </xf>
    <xf numFmtId="43" fontId="7" fillId="3" borderId="1" xfId="1" applyFont="1" applyFill="1" applyBorder="1" applyAlignment="1">
      <alignment horizontal="center"/>
    </xf>
    <xf numFmtId="43" fontId="12" fillId="0" borderId="1" xfId="0" applyNumberFormat="1" applyFont="1" applyBorder="1">
      <alignment vertical="center"/>
    </xf>
    <xf numFmtId="10" fontId="12" fillId="0" borderId="1" xfId="0" applyNumberFormat="1" applyFont="1" applyBorder="1" applyAlignment="1">
      <alignment horizontal="center" vertical="center"/>
    </xf>
    <xf numFmtId="184" fontId="7" fillId="0" borderId="1" xfId="1" applyNumberFormat="1" applyFont="1" applyBorder="1">
      <alignment vertical="center"/>
    </xf>
    <xf numFmtId="3" fontId="7" fillId="0" borderId="0" xfId="0" applyNumberFormat="1" applyFont="1">
      <alignment vertical="center"/>
    </xf>
    <xf numFmtId="0" fontId="19" fillId="0" borderId="1" xfId="14" quotePrefix="1" applyFont="1" applyBorder="1" applyAlignment="1">
      <alignment horizontal="left" vertical="center"/>
    </xf>
    <xf numFmtId="0" fontId="21" fillId="0" borderId="0" xfId="0" applyFont="1">
      <alignment vertical="center"/>
    </xf>
    <xf numFmtId="0" fontId="20" fillId="4" borderId="1" xfId="13" quotePrefix="1" applyFont="1" applyFill="1" applyBorder="1">
      <alignment vertical="center"/>
    </xf>
    <xf numFmtId="0" fontId="20" fillId="4" borderId="1" xfId="13" quotePrefix="1" applyFont="1" applyFill="1" applyBorder="1" applyAlignment="1">
      <alignment horizontal="left" vertical="center"/>
    </xf>
    <xf numFmtId="0" fontId="20" fillId="4" borderId="1" xfId="14" quotePrefix="1" applyFont="1" applyFill="1" applyBorder="1" applyAlignment="1">
      <alignment horizontal="left" vertical="center"/>
    </xf>
    <xf numFmtId="0" fontId="19" fillId="0" borderId="1" xfId="0" applyFont="1" applyBorder="1" applyAlignment="1">
      <alignment horizontal="left" vertical="center"/>
    </xf>
    <xf numFmtId="43" fontId="19" fillId="0" borderId="1" xfId="0" applyNumberFormat="1" applyFont="1" applyBorder="1" applyAlignment="1">
      <alignment horizontal="left" vertical="center"/>
    </xf>
    <xf numFmtId="184" fontId="21" fillId="0" borderId="0" xfId="0" applyNumberFormat="1" applyFont="1">
      <alignment vertical="center"/>
    </xf>
    <xf numFmtId="0" fontId="23" fillId="0" borderId="0" xfId="0" applyFont="1">
      <alignment vertical="center"/>
    </xf>
    <xf numFmtId="3" fontId="23" fillId="0" borderId="0" xfId="0" applyNumberFormat="1" applyFont="1">
      <alignment vertical="center"/>
    </xf>
    <xf numFmtId="0" fontId="7" fillId="0" borderId="1" xfId="0" quotePrefix="1" applyFont="1" applyBorder="1" applyAlignment="1">
      <alignment horizontal="center" vertical="center"/>
    </xf>
    <xf numFmtId="0" fontId="7" fillId="0" borderId="1" xfId="0" applyFont="1" applyBorder="1" applyAlignment="1">
      <alignment vertical="center" wrapText="1"/>
    </xf>
    <xf numFmtId="184" fontId="7" fillId="0" borderId="0" xfId="0" applyNumberFormat="1" applyFont="1">
      <alignment vertical="center"/>
    </xf>
    <xf numFmtId="10" fontId="7" fillId="0" borderId="1" xfId="25" applyNumberFormat="1" applyFont="1" applyBorder="1" applyAlignment="1">
      <alignment horizontal="center" vertical="center"/>
    </xf>
    <xf numFmtId="10" fontId="7" fillId="0" borderId="1" xfId="25" applyNumberFormat="1" applyFont="1" applyBorder="1" applyAlignment="1">
      <alignment horizontal="right" vertical="center"/>
    </xf>
    <xf numFmtId="43" fontId="7" fillId="0" borderId="1" xfId="1" applyFont="1" applyBorder="1" applyAlignment="1">
      <alignment horizontal="center" vertical="center"/>
    </xf>
    <xf numFmtId="43" fontId="7" fillId="0" borderId="1" xfId="0" applyNumberFormat="1" applyFont="1" applyBorder="1">
      <alignment vertical="center"/>
    </xf>
    <xf numFmtId="43" fontId="23" fillId="0" borderId="0" xfId="0" applyNumberFormat="1" applyFont="1">
      <alignment vertical="center"/>
    </xf>
    <xf numFmtId="184" fontId="7" fillId="0" borderId="1" xfId="1" applyNumberFormat="1" applyFont="1" applyBorder="1" applyAlignment="1">
      <alignment horizontal="left" vertical="center"/>
    </xf>
    <xf numFmtId="43" fontId="11" fillId="2" borderId="1" xfId="1" applyFont="1" applyFill="1" applyBorder="1" applyAlignment="1">
      <alignment horizontal="center" vertical="center"/>
    </xf>
    <xf numFmtId="0" fontId="11" fillId="2" borderId="1" xfId="0" applyFont="1" applyFill="1" applyBorder="1">
      <alignment vertical="center"/>
    </xf>
    <xf numFmtId="0" fontId="10" fillId="0" borderId="0" xfId="0" applyFont="1" applyAlignment="1">
      <alignment horizontal="left" vertical="center"/>
    </xf>
    <xf numFmtId="0" fontId="24" fillId="0" borderId="0" xfId="30">
      <alignment vertical="center"/>
    </xf>
    <xf numFmtId="43" fontId="7" fillId="3" borderId="11" xfId="1" applyFont="1" applyFill="1" applyBorder="1" applyAlignment="1">
      <alignment horizontal="center" vertical="center"/>
    </xf>
    <xf numFmtId="10" fontId="7" fillId="3" borderId="12" xfId="25" applyNumberFormat="1" applyFont="1" applyFill="1" applyBorder="1" applyAlignment="1">
      <alignment horizontal="center" vertical="center"/>
    </xf>
    <xf numFmtId="10" fontId="7" fillId="0" borderId="12" xfId="25" applyNumberFormat="1" applyFont="1" applyBorder="1">
      <alignment vertical="center"/>
    </xf>
    <xf numFmtId="43" fontId="7" fillId="0" borderId="13" xfId="1" applyFont="1" applyBorder="1">
      <alignment vertical="center"/>
    </xf>
    <xf numFmtId="43" fontId="7" fillId="0" borderId="14" xfId="1" applyFont="1" applyBorder="1">
      <alignment vertical="center"/>
    </xf>
    <xf numFmtId="10" fontId="7" fillId="0" borderId="15" xfId="25" applyNumberFormat="1" applyFont="1" applyBorder="1">
      <alignment vertical="center"/>
    </xf>
    <xf numFmtId="0" fontId="7" fillId="0" borderId="18" xfId="0" applyFont="1" applyBorder="1">
      <alignment vertical="center"/>
    </xf>
    <xf numFmtId="43" fontId="17" fillId="0" borderId="1" xfId="1" applyFont="1" applyBorder="1" applyAlignment="1">
      <alignment horizontal="right" vertical="center"/>
    </xf>
    <xf numFmtId="43" fontId="8" fillId="0" borderId="1" xfId="1" quotePrefix="1" applyFont="1" applyBorder="1">
      <alignment vertical="center"/>
    </xf>
    <xf numFmtId="43" fontId="20" fillId="4" borderId="1" xfId="1" quotePrefix="1" applyFont="1" applyFill="1" applyBorder="1">
      <alignment vertical="center"/>
    </xf>
    <xf numFmtId="43" fontId="8" fillId="0" borderId="1" xfId="1" quotePrefix="1" applyFont="1" applyBorder="1" applyAlignment="1">
      <alignment horizontal="left" vertical="center"/>
    </xf>
    <xf numFmtId="43" fontId="20" fillId="4" borderId="1" xfId="1" quotePrefix="1" applyFont="1" applyFill="1" applyBorder="1" applyAlignment="1">
      <alignment horizontal="left" vertical="center"/>
    </xf>
    <xf numFmtId="43" fontId="8" fillId="0" borderId="1" xfId="1" applyFont="1" applyBorder="1" applyAlignment="1">
      <alignment horizontal="right" vertical="center"/>
    </xf>
    <xf numFmtId="43" fontId="8" fillId="3" borderId="1" xfId="1" quotePrefix="1" applyFont="1" applyFill="1" applyBorder="1" applyAlignment="1">
      <alignment horizontal="center" vertical="center"/>
    </xf>
    <xf numFmtId="43" fontId="19" fillId="0" borderId="1" xfId="1" quotePrefix="1" applyFont="1" applyBorder="1" applyAlignment="1">
      <alignment horizontal="left" vertical="center"/>
    </xf>
    <xf numFmtId="43" fontId="8" fillId="0" borderId="1" xfId="1" applyFont="1" applyBorder="1" applyAlignment="1">
      <alignment horizontal="left" vertical="center"/>
    </xf>
    <xf numFmtId="43" fontId="19" fillId="0" borderId="1" xfId="1" applyFont="1" applyBorder="1" applyAlignment="1">
      <alignment horizontal="right" vertical="center"/>
    </xf>
    <xf numFmtId="43" fontId="8" fillId="0" borderId="1" xfId="1" quotePrefix="1" applyFont="1" applyFill="1" applyBorder="1" applyAlignment="1">
      <alignment horizontal="left" vertical="center"/>
    </xf>
    <xf numFmtId="43" fontId="22" fillId="4" borderId="1" xfId="1" applyFont="1" applyFill="1" applyBorder="1">
      <alignment vertical="center"/>
    </xf>
    <xf numFmtId="43" fontId="8" fillId="4" borderId="1" xfId="1" quotePrefix="1" applyFont="1" applyFill="1" applyBorder="1" applyAlignment="1">
      <alignment horizontal="left" vertical="center"/>
    </xf>
    <xf numFmtId="43" fontId="8" fillId="4" borderId="1" xfId="1" applyFont="1" applyFill="1" applyBorder="1" applyAlignment="1">
      <alignment horizontal="right" vertical="center"/>
    </xf>
    <xf numFmtId="43" fontId="20" fillId="4" borderId="1" xfId="1" applyFont="1" applyFill="1" applyBorder="1" applyAlignment="1">
      <alignment horizontal="right" vertical="center"/>
    </xf>
    <xf numFmtId="43" fontId="7" fillId="0" borderId="0" xfId="1" applyFont="1" applyFill="1" applyBorder="1" applyAlignment="1">
      <alignment horizontal="center" vertical="center"/>
    </xf>
    <xf numFmtId="43" fontId="8" fillId="0" borderId="0" xfId="1" quotePrefix="1" applyFont="1" applyFill="1" applyBorder="1" applyAlignment="1">
      <alignment horizontal="left" vertical="center"/>
    </xf>
    <xf numFmtId="43" fontId="26" fillId="0" borderId="11" xfId="31" applyFont="1" applyBorder="1" applyAlignment="1">
      <alignment horizontal="left" vertical="center"/>
    </xf>
    <xf numFmtId="43" fontId="26" fillId="0" borderId="19" xfId="31" applyFont="1" applyBorder="1" applyAlignment="1">
      <alignment horizontal="left" vertical="center"/>
    </xf>
    <xf numFmtId="43" fontId="0" fillId="0" borderId="0" xfId="1" applyFont="1">
      <alignment vertical="center"/>
    </xf>
    <xf numFmtId="43" fontId="0" fillId="0" borderId="1" xfId="1" applyFont="1" applyBorder="1">
      <alignment vertical="center"/>
    </xf>
    <xf numFmtId="43" fontId="0" fillId="0" borderId="1" xfId="1" applyFont="1" applyBorder="1" applyAlignment="1">
      <alignment horizontal="center" vertical="center"/>
    </xf>
    <xf numFmtId="43" fontId="7" fillId="0" borderId="1" xfId="1" applyFont="1" applyBorder="1" applyAlignment="1">
      <alignment horizontal="left" vertical="center"/>
    </xf>
    <xf numFmtId="43" fontId="12" fillId="0" borderId="1" xfId="1" applyFont="1" applyBorder="1" applyAlignment="1">
      <alignment horizontal="left" vertical="center"/>
    </xf>
    <xf numFmtId="43" fontId="7" fillId="0" borderId="1" xfId="15" applyFont="1" applyBorder="1" applyProtection="1">
      <protection locked="0"/>
    </xf>
    <xf numFmtId="43" fontId="12" fillId="0" borderId="1" xfId="1" applyFont="1" applyBorder="1" applyAlignment="1"/>
    <xf numFmtId="0" fontId="7" fillId="6" borderId="1" xfId="0" applyFont="1" applyFill="1" applyBorder="1" applyAlignment="1">
      <alignment horizontal="center" vertical="center"/>
    </xf>
    <xf numFmtId="9" fontId="7" fillId="0" borderId="1" xfId="0" applyNumberFormat="1" applyFont="1" applyBorder="1">
      <alignment vertical="center"/>
    </xf>
    <xf numFmtId="43" fontId="7" fillId="0" borderId="0" xfId="1" applyFont="1" applyAlignment="1">
      <alignment horizontal="center" vertical="center"/>
    </xf>
    <xf numFmtId="43" fontId="7" fillId="0" borderId="1" xfId="1" applyFont="1" applyFill="1" applyBorder="1" applyAlignment="1" applyProtection="1">
      <protection locked="0"/>
    </xf>
    <xf numFmtId="4" fontId="7" fillId="0" borderId="1" xfId="0" applyNumberFormat="1" applyFont="1" applyBorder="1" applyAlignment="1"/>
    <xf numFmtId="10" fontId="27" fillId="0" borderId="1" xfId="0" applyNumberFormat="1" applyFont="1" applyBorder="1" applyAlignment="1">
      <alignment horizontal="left" vertical="center"/>
    </xf>
    <xf numFmtId="185" fontId="7" fillId="0" borderId="0" xfId="0" applyNumberFormat="1" applyFont="1">
      <alignment vertical="center"/>
    </xf>
    <xf numFmtId="185" fontId="7" fillId="3" borderId="1" xfId="0" applyNumberFormat="1" applyFont="1" applyFill="1" applyBorder="1" applyAlignment="1">
      <alignment horizontal="center" vertical="center"/>
    </xf>
    <xf numFmtId="185" fontId="7" fillId="0" borderId="1" xfId="0" applyNumberFormat="1" applyFont="1" applyBorder="1" applyAlignment="1">
      <alignment horizontal="left" vertical="center"/>
    </xf>
    <xf numFmtId="185" fontId="27" fillId="0" borderId="1" xfId="0" applyNumberFormat="1" applyFont="1" applyBorder="1" applyAlignment="1">
      <alignment horizontal="left" vertical="center"/>
    </xf>
    <xf numFmtId="185" fontId="7" fillId="0" borderId="1" xfId="0" applyNumberFormat="1" applyFont="1" applyBorder="1">
      <alignment vertical="center"/>
    </xf>
    <xf numFmtId="186" fontId="28" fillId="0" borderId="1" xfId="0" applyNumberFormat="1" applyFont="1" applyBorder="1" applyAlignment="1">
      <alignment horizontal="center" vertical="center"/>
    </xf>
    <xf numFmtId="186" fontId="28" fillId="7" borderId="1" xfId="0" applyNumberFormat="1" applyFont="1" applyFill="1" applyBorder="1" applyAlignment="1">
      <alignment horizontal="center" vertical="center"/>
    </xf>
    <xf numFmtId="186" fontId="28" fillId="0" borderId="1" xfId="0" applyNumberFormat="1" applyFont="1" applyBorder="1" applyAlignment="1">
      <alignment horizontal="right" vertical="center"/>
    </xf>
    <xf numFmtId="186" fontId="29" fillId="0" borderId="1" xfId="0" applyNumberFormat="1" applyFont="1" applyBorder="1" applyAlignment="1">
      <alignment horizontal="center" vertical="center"/>
    </xf>
    <xf numFmtId="186" fontId="28" fillId="0" borderId="6" xfId="0" applyNumberFormat="1" applyFont="1" applyBorder="1">
      <alignment vertical="center"/>
    </xf>
    <xf numFmtId="186" fontId="7" fillId="0" borderId="1" xfId="0" applyNumberFormat="1" applyFont="1" applyBorder="1">
      <alignment vertical="center"/>
    </xf>
    <xf numFmtId="186" fontId="7" fillId="0" borderId="1" xfId="0" applyNumberFormat="1" applyFont="1" applyBorder="1" applyAlignment="1">
      <alignment vertical="center" wrapText="1"/>
    </xf>
    <xf numFmtId="43" fontId="7" fillId="5" borderId="0" xfId="0" applyNumberFormat="1" applyFont="1" applyFill="1">
      <alignment vertical="center"/>
    </xf>
    <xf numFmtId="186" fontId="28" fillId="0" borderId="1" xfId="0" applyNumberFormat="1" applyFont="1" applyBorder="1">
      <alignment vertical="center"/>
    </xf>
    <xf numFmtId="43" fontId="0" fillId="0" borderId="0" xfId="31" applyFont="1" applyAlignment="1">
      <alignment vertical="center"/>
    </xf>
    <xf numFmtId="0" fontId="0" fillId="0" borderId="0" xfId="0" applyAlignment="1"/>
    <xf numFmtId="0" fontId="11" fillId="8" borderId="1" xfId="0" applyFont="1" applyFill="1" applyBorder="1" applyAlignment="1">
      <alignment horizontal="center" vertical="center"/>
    </xf>
    <xf numFmtId="43" fontId="7" fillId="0" borderId="1" xfId="31" applyFont="1" applyBorder="1" applyAlignment="1">
      <alignment horizontal="center" vertical="center"/>
    </xf>
    <xf numFmtId="43" fontId="7" fillId="0" borderId="1" xfId="31" applyFont="1" applyBorder="1" applyAlignment="1"/>
    <xf numFmtId="43" fontId="7" fillId="0" borderId="1" xfId="31" applyFont="1" applyBorder="1">
      <alignment vertical="center"/>
    </xf>
    <xf numFmtId="43" fontId="7" fillId="0" borderId="0" xfId="31" applyFont="1" applyBorder="1">
      <alignment vertical="center"/>
    </xf>
    <xf numFmtId="0" fontId="7" fillId="8" borderId="1" xfId="0" applyFont="1" applyFill="1" applyBorder="1" applyAlignment="1">
      <alignment horizontal="center" vertical="center"/>
    </xf>
    <xf numFmtId="0" fontId="0" fillId="0" borderId="1" xfId="0" applyBorder="1">
      <alignment vertical="center"/>
    </xf>
    <xf numFmtId="43" fontId="7" fillId="8" borderId="1" xfId="31" applyFont="1" applyFill="1" applyBorder="1" applyAlignment="1">
      <alignment horizontal="center" vertical="center"/>
    </xf>
    <xf numFmtId="0" fontId="0" fillId="0" borderId="1" xfId="0" applyBorder="1" applyAlignment="1"/>
    <xf numFmtId="0" fontId="0" fillId="0" borderId="1" xfId="0" quotePrefix="1" applyBorder="1" applyAlignment="1"/>
    <xf numFmtId="43" fontId="0" fillId="0" borderId="0" xfId="31" applyFont="1" applyAlignment="1"/>
    <xf numFmtId="49" fontId="5" fillId="0" borderId="1" xfId="0" applyNumberFormat="1" applyFont="1" applyBorder="1" applyAlignment="1">
      <alignment horizontal="left" vertical="center"/>
    </xf>
    <xf numFmtId="49" fontId="0" fillId="0" borderId="1" xfId="0" applyNumberFormat="1" applyBorder="1" applyAlignment="1">
      <alignment horizontal="left" vertical="center"/>
    </xf>
    <xf numFmtId="43" fontId="0" fillId="0" borderId="1" xfId="1" applyFont="1" applyBorder="1" applyAlignment="1"/>
    <xf numFmtId="43" fontId="7" fillId="0" borderId="1" xfId="1" applyFont="1" applyFill="1" applyBorder="1">
      <alignment vertical="center"/>
    </xf>
    <xf numFmtId="43" fontId="0" fillId="0" borderId="0" xfId="0" applyNumberFormat="1">
      <alignment vertical="center"/>
    </xf>
    <xf numFmtId="0" fontId="7" fillId="3" borderId="1" xfId="0" applyFont="1" applyFill="1" applyBorder="1" applyAlignment="1">
      <alignment horizontal="center" vertical="center" wrapText="1"/>
    </xf>
    <xf numFmtId="10" fontId="7" fillId="0" borderId="0" xfId="25" applyNumberFormat="1" applyFont="1" applyBorder="1" applyAlignment="1">
      <alignment horizontal="center" vertical="center"/>
    </xf>
    <xf numFmtId="43" fontId="30" fillId="0" borderId="1" xfId="1" applyFont="1" applyBorder="1">
      <alignment vertical="center"/>
    </xf>
    <xf numFmtId="10" fontId="30" fillId="0" borderId="1" xfId="25" applyNumberFormat="1" applyFont="1" applyBorder="1">
      <alignment vertical="center"/>
    </xf>
    <xf numFmtId="10" fontId="7" fillId="7" borderId="12" xfId="25" applyNumberFormat="1" applyFont="1" applyFill="1" applyBorder="1" applyAlignment="1">
      <alignment horizontal="center" vertical="center"/>
    </xf>
    <xf numFmtId="0" fontId="7" fillId="7" borderId="0" xfId="0" applyFont="1" applyFill="1">
      <alignment vertical="center"/>
    </xf>
    <xf numFmtId="0" fontId="31" fillId="0" borderId="1" xfId="0" applyFont="1" applyBorder="1" applyAlignment="1">
      <alignment horizontal="center"/>
    </xf>
    <xf numFmtId="43" fontId="32" fillId="0" borderId="23" xfId="0" applyNumberFormat="1" applyFont="1" applyBorder="1" applyAlignment="1">
      <alignment horizontal="center" vertical="center"/>
    </xf>
    <xf numFmtId="0" fontId="31" fillId="7" borderId="1" xfId="0" applyFont="1" applyFill="1" applyBorder="1" applyAlignment="1">
      <alignment horizontal="center"/>
    </xf>
    <xf numFmtId="9" fontId="32" fillId="0" borderId="24" xfId="25" applyFont="1" applyBorder="1" applyAlignment="1">
      <alignment horizontal="center" vertical="center"/>
    </xf>
    <xf numFmtId="4" fontId="33" fillId="0" borderId="23" xfId="0" applyNumberFormat="1" applyFont="1" applyBorder="1" applyAlignment="1">
      <alignment horizontal="right" vertical="center"/>
    </xf>
    <xf numFmtId="43" fontId="33" fillId="0" borderId="23" xfId="0" applyNumberFormat="1" applyFont="1" applyBorder="1" applyAlignment="1">
      <alignment horizontal="left" vertical="center"/>
    </xf>
    <xf numFmtId="43" fontId="33" fillId="0" borderId="23" xfId="0" applyNumberFormat="1" applyFont="1" applyBorder="1" applyAlignment="1">
      <alignment horizontal="center" vertical="center"/>
    </xf>
    <xf numFmtId="9" fontId="33" fillId="0" borderId="24" xfId="0" applyNumberFormat="1" applyFont="1" applyBorder="1" applyAlignment="1">
      <alignment horizontal="center" vertical="center"/>
    </xf>
    <xf numFmtId="43" fontId="33" fillId="0" borderId="23" xfId="0" applyNumberFormat="1" applyFont="1" applyBorder="1" applyAlignment="1">
      <alignment horizontal="right" vertical="center"/>
    </xf>
    <xf numFmtId="187" fontId="33" fillId="0" borderId="1" xfId="0" applyNumberFormat="1" applyFont="1" applyBorder="1" applyAlignment="1">
      <alignment horizontal="center" vertical="center"/>
    </xf>
    <xf numFmtId="0" fontId="33" fillId="0" borderId="1" xfId="0" applyFont="1" applyBorder="1" applyAlignment="1">
      <alignment horizontal="center"/>
    </xf>
    <xf numFmtId="43" fontId="33" fillId="0" borderId="1" xfId="1" applyFont="1" applyBorder="1" applyAlignment="1">
      <alignment horizontal="center"/>
    </xf>
    <xf numFmtId="10" fontId="33" fillId="0" borderId="1" xfId="25" applyNumberFormat="1" applyFont="1" applyBorder="1" applyAlignment="1">
      <alignment horizontal="center"/>
    </xf>
    <xf numFmtId="9" fontId="33" fillId="0" borderId="1" xfId="25" applyFont="1" applyBorder="1" applyAlignment="1">
      <alignment horizontal="center"/>
    </xf>
    <xf numFmtId="0" fontId="33" fillId="7" borderId="1" xfId="0" applyFont="1" applyFill="1" applyBorder="1" applyAlignment="1">
      <alignment horizontal="center"/>
    </xf>
    <xf numFmtId="180" fontId="33" fillId="0" borderId="1" xfId="1" applyNumberFormat="1" applyFont="1" applyBorder="1" applyAlignment="1">
      <alignment horizontal="center" vertical="center" wrapText="1"/>
    </xf>
    <xf numFmtId="180" fontId="33" fillId="7" borderId="1" xfId="1" applyNumberFormat="1" applyFont="1" applyFill="1" applyBorder="1" applyAlignment="1">
      <alignment horizontal="center" vertical="center" wrapText="1"/>
    </xf>
    <xf numFmtId="0" fontId="33" fillId="0" borderId="1" xfId="0" applyFont="1" applyBorder="1" applyAlignment="1">
      <alignment horizontal="center" vertical="center"/>
    </xf>
    <xf numFmtId="0" fontId="33" fillId="7" borderId="1" xfId="0" applyFont="1" applyFill="1" applyBorder="1" applyAlignment="1">
      <alignment horizontal="center" vertical="center"/>
    </xf>
    <xf numFmtId="0" fontId="33" fillId="0" borderId="1" xfId="0" applyFont="1" applyBorder="1" applyAlignment="1">
      <alignment horizontal="center" wrapText="1"/>
    </xf>
    <xf numFmtId="0" fontId="33" fillId="7" borderId="1" xfId="0" applyFont="1" applyFill="1" applyBorder="1" applyAlignment="1">
      <alignment horizontal="center" wrapText="1"/>
    </xf>
    <xf numFmtId="0" fontId="7" fillId="0" borderId="1"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wrapText="1"/>
    </xf>
    <xf numFmtId="0" fontId="11" fillId="2" borderId="1" xfId="0" applyFont="1" applyFill="1" applyBorder="1" applyAlignment="1">
      <alignment vertical="center" wrapText="1"/>
    </xf>
    <xf numFmtId="0" fontId="7" fillId="3" borderId="2" xfId="0" applyFont="1" applyFill="1" applyBorder="1" applyAlignment="1">
      <alignment horizontal="center" vertical="center" wrapText="1"/>
    </xf>
    <xf numFmtId="0" fontId="12" fillId="2" borderId="2" xfId="0" applyFont="1" applyFill="1" applyBorder="1" applyAlignment="1">
      <alignment vertical="center" wrapText="1"/>
    </xf>
    <xf numFmtId="0" fontId="12" fillId="0" borderId="2" xfId="0" applyFont="1" applyBorder="1" applyAlignment="1">
      <alignment vertical="center" wrapText="1"/>
    </xf>
    <xf numFmtId="0" fontId="35" fillId="0" borderId="0" xfId="0" applyFont="1">
      <alignment vertical="center"/>
    </xf>
    <xf numFmtId="180" fontId="12" fillId="0" borderId="0" xfId="0" applyNumberFormat="1" applyFont="1">
      <alignment vertical="center"/>
    </xf>
    <xf numFmtId="180" fontId="17" fillId="3" borderId="1" xfId="0" applyNumberFormat="1" applyFont="1" applyFill="1" applyBorder="1" applyAlignment="1">
      <alignment horizontal="center" vertical="center" wrapText="1"/>
    </xf>
    <xf numFmtId="180" fontId="17" fillId="0" borderId="1" xfId="0" applyNumberFormat="1" applyFont="1" applyBorder="1" applyAlignment="1">
      <alignment horizontal="right" vertical="center"/>
    </xf>
    <xf numFmtId="180" fontId="7" fillId="0" borderId="0" xfId="0" applyNumberFormat="1" applyFont="1">
      <alignment vertical="center"/>
    </xf>
    <xf numFmtId="43" fontId="12" fillId="0" borderId="0" xfId="1" applyFont="1">
      <alignment vertical="center"/>
    </xf>
    <xf numFmtId="43" fontId="17" fillId="3" borderId="1" xfId="1" applyFont="1" applyFill="1" applyBorder="1" applyAlignment="1">
      <alignment horizontal="center" vertical="center" wrapText="1"/>
    </xf>
    <xf numFmtId="0" fontId="36" fillId="0" borderId="0" xfId="0" applyFont="1">
      <alignment vertical="center"/>
    </xf>
    <xf numFmtId="0" fontId="7" fillId="3" borderId="1"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6" xfId="0" applyFont="1" applyFill="1" applyBorder="1" applyAlignment="1" applyProtection="1">
      <alignment horizontal="center" vertical="center"/>
      <protection locked="0"/>
    </xf>
    <xf numFmtId="0" fontId="7" fillId="3" borderId="7" xfId="0" applyFont="1" applyFill="1" applyBorder="1" applyAlignment="1" applyProtection="1">
      <alignment horizontal="center" vertical="center"/>
      <protection locked="0"/>
    </xf>
    <xf numFmtId="43" fontId="12" fillId="3" borderId="1"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7" fillId="3" borderId="1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 xfId="0" applyFont="1" applyFill="1" applyBorder="1">
      <alignment vertical="center"/>
    </xf>
    <xf numFmtId="43"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0" fontId="30" fillId="0" borderId="20" xfId="0"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cellXfs>
  <cellStyles count="32">
    <cellStyle name="0,0_x000d__x000a_NA_x000d__x000a_" xfId="5" xr:uid="{00000000-0005-0000-0000-000000000000}"/>
    <cellStyle name="Normal_sheet" xfId="27" xr:uid="{00000000-0005-0000-0000-000001000000}"/>
    <cellStyle name="百分比" xfId="25" builtinId="5"/>
    <cellStyle name="百分比 2" xfId="3" xr:uid="{00000000-0005-0000-0000-000003000000}"/>
    <cellStyle name="百分比 2 2" xfId="4" xr:uid="{00000000-0005-0000-0000-000004000000}"/>
    <cellStyle name="百分比 3" xfId="11" xr:uid="{00000000-0005-0000-0000-000005000000}"/>
    <cellStyle name="常规" xfId="0" builtinId="0"/>
    <cellStyle name="常规 11" xfId="12" xr:uid="{00000000-0005-0000-0000-000007000000}"/>
    <cellStyle name="常规 2" xfId="13" xr:uid="{00000000-0005-0000-0000-000008000000}"/>
    <cellStyle name="常规 2 2" xfId="9" xr:uid="{00000000-0005-0000-0000-000009000000}"/>
    <cellStyle name="常规 2 2 2" xfId="6" xr:uid="{00000000-0005-0000-0000-00000A000000}"/>
    <cellStyle name="常规 2 3" xfId="10" xr:uid="{00000000-0005-0000-0000-00000B000000}"/>
    <cellStyle name="常规 3" xfId="14" xr:uid="{00000000-0005-0000-0000-00000C000000}"/>
    <cellStyle name="常规 4" xfId="16" xr:uid="{00000000-0005-0000-0000-00000D000000}"/>
    <cellStyle name="常规 5" xfId="28" xr:uid="{00000000-0005-0000-0000-00000E000000}"/>
    <cellStyle name="常规 7 2" xfId="7" xr:uid="{00000000-0005-0000-0000-00000F000000}"/>
    <cellStyle name="超链接" xfId="30" builtinId="8"/>
    <cellStyle name="普通_企业应上交各项税、费情况表" xfId="2" xr:uid="{00000000-0005-0000-0000-000011000000}"/>
    <cellStyle name="千位分隔" xfId="1" builtinId="3"/>
    <cellStyle name="千位分隔 19" xfId="26" xr:uid="{00000000-0005-0000-0000-000013000000}"/>
    <cellStyle name="千位分隔 2" xfId="15" xr:uid="{00000000-0005-0000-0000-000014000000}"/>
    <cellStyle name="千位分隔 2 19 5" xfId="31" xr:uid="{00000000-0005-0000-0000-000015000000}"/>
    <cellStyle name="千位分隔 2 2" xfId="17" xr:uid="{00000000-0005-0000-0000-000016000000}"/>
    <cellStyle name="千位分隔 3" xfId="18" xr:uid="{00000000-0005-0000-0000-000017000000}"/>
    <cellStyle name="千位分隔 3 2" xfId="19" xr:uid="{00000000-0005-0000-0000-000018000000}"/>
    <cellStyle name="千位分隔 4" xfId="20" xr:uid="{00000000-0005-0000-0000-000019000000}"/>
    <cellStyle name="千位分隔 4 2" xfId="21" xr:uid="{00000000-0005-0000-0000-00001A000000}"/>
    <cellStyle name="千位分隔 5" xfId="22" xr:uid="{00000000-0005-0000-0000-00001B000000}"/>
    <cellStyle name="千位分隔 5 2" xfId="23" xr:uid="{00000000-0005-0000-0000-00001C000000}"/>
    <cellStyle name="千位分隔 6" xfId="24" xr:uid="{00000000-0005-0000-0000-00001D000000}"/>
    <cellStyle name="千位分隔 7" xfId="29" xr:uid="{00000000-0005-0000-0000-00001E000000}"/>
    <cellStyle name="千位分隔[0] 2" xfId="8" xr:uid="{00000000-0005-0000-0000-00001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yecool/Desktop/&#34701;&#36164;/&#28145;&#21019;&#25237;/4&#36130;&#21153;&#36164;&#26009;&#28165;&#21333;-2020&#24180;6&#26376;-&#28145;&#21019;&#2523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材料汇总"/>
      <sheetName val="内部关联方基本信息"/>
      <sheetName val="关联方交易"/>
      <sheetName val="实收资本"/>
      <sheetName val="盈利预测"/>
      <sheetName val="合并口径财务报表"/>
      <sheetName val="报告（自动生成）"/>
      <sheetName val="收入、毛利率构成表"/>
      <sheetName val="成本构成表"/>
      <sheetName val="前10大客户、供应商"/>
      <sheetName val="四大费用明细"/>
      <sheetName val="减值准备变动表"/>
      <sheetName val="营业外收支"/>
      <sheetName val="员工薪酬"/>
      <sheetName val="货币资金"/>
      <sheetName val="应收账款明细"/>
      <sheetName val="预付账款明细"/>
      <sheetName val="其他应收款"/>
      <sheetName val="存货分类"/>
      <sheetName val="其他流动资产"/>
      <sheetName val="可供出售金融资产"/>
      <sheetName val="长期股权投资"/>
      <sheetName val="商誉"/>
      <sheetName val="固定资产构成表"/>
      <sheetName val="在建工程"/>
      <sheetName val="无形资产构成"/>
      <sheetName val="长期待摊费用"/>
      <sheetName val="其他非流动资产"/>
      <sheetName val="长短期借款"/>
      <sheetName val="应付账款"/>
      <sheetName val="预收账款"/>
      <sheetName val="其他应付"/>
      <sheetName val="其他流动负债"/>
      <sheetName val="其他非流动负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K1" t="str">
            <v>2020年6月30日</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Normal="100" workbookViewId="0">
      <selection activeCell="E19" sqref="E19"/>
    </sheetView>
  </sheetViews>
  <sheetFormatPr defaultColWidth="9" defaultRowHeight="15.6"/>
  <cols>
    <col min="1" max="1" width="3.3984375" style="7" bestFit="1" customWidth="1"/>
    <col min="2" max="2" width="81" style="7" customWidth="1"/>
    <col min="3" max="3" width="9" style="7"/>
    <col min="4" max="4" width="23" style="7" customWidth="1"/>
    <col min="5" max="16384" width="9" style="7"/>
  </cols>
  <sheetData>
    <row r="2" spans="2:9">
      <c r="B2" s="40" t="s">
        <v>1038</v>
      </c>
      <c r="C2" s="7" t="s">
        <v>1049</v>
      </c>
    </row>
    <row r="4" spans="2:9">
      <c r="B4" s="41" t="s">
        <v>1051</v>
      </c>
    </row>
    <row r="5" spans="2:9">
      <c r="B5" s="41" t="s">
        <v>1052</v>
      </c>
    </row>
    <row r="6" spans="2:9">
      <c r="B6" s="41" t="s">
        <v>119</v>
      </c>
      <c r="D6" s="7" t="s">
        <v>1050</v>
      </c>
    </row>
    <row r="7" spans="2:9">
      <c r="B7" s="7" t="s">
        <v>1053</v>
      </c>
    </row>
    <row r="8" spans="2:9">
      <c r="B8" s="7" t="s">
        <v>1054</v>
      </c>
    </row>
    <row r="9" spans="2:9">
      <c r="B9" s="7" t="s">
        <v>1055</v>
      </c>
    </row>
    <row r="10" spans="2:9">
      <c r="B10" s="7" t="s">
        <v>1058</v>
      </c>
    </row>
    <row r="11" spans="2:9">
      <c r="B11" s="7" t="s">
        <v>338</v>
      </c>
      <c r="I11" s="7" t="s">
        <v>1050</v>
      </c>
    </row>
    <row r="12" spans="2:9">
      <c r="B12" s="7" t="s">
        <v>1059</v>
      </c>
    </row>
    <row r="13" spans="2:9">
      <c r="B13" s="7" t="s">
        <v>1056</v>
      </c>
    </row>
    <row r="14" spans="2:9">
      <c r="B14" s="7" t="s">
        <v>293</v>
      </c>
      <c r="D14" s="7" t="s">
        <v>1050</v>
      </c>
    </row>
    <row r="15" spans="2:9">
      <c r="B15" s="7" t="s">
        <v>94</v>
      </c>
      <c r="C15" s="7" t="s">
        <v>1050</v>
      </c>
    </row>
    <row r="16" spans="2:9">
      <c r="B16" s="7" t="s">
        <v>335</v>
      </c>
      <c r="G16" s="229" t="s">
        <v>1041</v>
      </c>
      <c r="H16" s="222"/>
    </row>
    <row r="17" spans="2:2">
      <c r="B17" s="7" t="s">
        <v>1057</v>
      </c>
    </row>
    <row r="19" spans="2:2">
      <c r="B19" s="7" t="s">
        <v>320</v>
      </c>
    </row>
    <row r="21" spans="2:2">
      <c r="B21" s="115"/>
    </row>
    <row r="22" spans="2:2">
      <c r="B22" s="116"/>
    </row>
  </sheetData>
  <phoneticPr fontId="6" type="noConversion"/>
  <pageMargins left="0.69930555555555596" right="0.69930555555555596"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27"/>
  <sheetViews>
    <sheetView zoomScale="90" zoomScaleNormal="90" workbookViewId="0">
      <selection activeCell="C16" sqref="C16"/>
    </sheetView>
  </sheetViews>
  <sheetFormatPr defaultColWidth="8.59765625" defaultRowHeight="14.4"/>
  <cols>
    <col min="1" max="1" width="2" style="8" customWidth="1"/>
    <col min="2" max="2" width="26.09765625" style="8" customWidth="1"/>
    <col min="3" max="3" width="45" style="8" customWidth="1"/>
    <col min="4" max="4" width="17.3984375" style="8" customWidth="1"/>
    <col min="5" max="5" width="18.3984375" style="8" bestFit="1" customWidth="1"/>
    <col min="6" max="6" width="14" style="8" customWidth="1"/>
    <col min="7" max="9" width="12.8984375" style="8" bestFit="1" customWidth="1"/>
    <col min="10" max="12" width="15.59765625" style="8" bestFit="1" customWidth="1"/>
    <col min="13" max="13" width="16.59765625" style="8" bestFit="1" customWidth="1"/>
    <col min="14" max="16384" width="8.59765625" style="8"/>
  </cols>
  <sheetData>
    <row r="2" spans="2:10" ht="15.6" customHeight="1">
      <c r="B2" s="231" t="s">
        <v>120</v>
      </c>
      <c r="C2" s="231" t="s">
        <v>100</v>
      </c>
      <c r="D2" s="231" t="s">
        <v>97</v>
      </c>
      <c r="E2" s="231" t="s">
        <v>98</v>
      </c>
      <c r="F2" s="233" t="s">
        <v>99</v>
      </c>
      <c r="G2" s="230" t="s">
        <v>823</v>
      </c>
      <c r="H2" s="230"/>
      <c r="I2" s="230"/>
    </row>
    <row r="3" spans="2:10">
      <c r="B3" s="232"/>
      <c r="C3" s="232"/>
      <c r="D3" s="232"/>
      <c r="E3" s="232"/>
      <c r="F3" s="234"/>
      <c r="G3" s="58" t="s">
        <v>344</v>
      </c>
      <c r="H3" s="58" t="s">
        <v>336</v>
      </c>
      <c r="I3" s="58" t="s">
        <v>341</v>
      </c>
    </row>
    <row r="4" spans="2:10">
      <c r="B4" s="105" t="s">
        <v>824</v>
      </c>
      <c r="C4" s="4" t="s">
        <v>836</v>
      </c>
      <c r="D4" s="47"/>
      <c r="E4" s="104"/>
      <c r="F4" s="11"/>
      <c r="G4" s="109">
        <v>167.66218799999999</v>
      </c>
      <c r="H4" s="24">
        <v>701.69049100000007</v>
      </c>
      <c r="I4" s="24">
        <v>605.201776</v>
      </c>
      <c r="J4" s="43"/>
    </row>
    <row r="5" spans="2:10">
      <c r="B5" s="4" t="s">
        <v>825</v>
      </c>
      <c r="C5" s="4" t="s">
        <v>837</v>
      </c>
      <c r="D5" s="151">
        <v>1</v>
      </c>
      <c r="E5" s="11" t="s">
        <v>835</v>
      </c>
      <c r="F5" s="4" t="s">
        <v>834</v>
      </c>
      <c r="G5" s="24">
        <v>28.763817</v>
      </c>
      <c r="H5" s="24">
        <v>166.87686200000002</v>
      </c>
      <c r="I5" s="24">
        <v>195.10592600000001</v>
      </c>
      <c r="J5" s="43"/>
    </row>
    <row r="6" spans="2:10">
      <c r="B6" s="4" t="s">
        <v>826</v>
      </c>
      <c r="C6" s="4" t="s">
        <v>838</v>
      </c>
      <c r="D6" s="151">
        <v>0.85</v>
      </c>
      <c r="E6" s="11" t="s">
        <v>833</v>
      </c>
      <c r="F6" s="4" t="s">
        <v>834</v>
      </c>
      <c r="G6" s="24">
        <v>0</v>
      </c>
      <c r="H6" s="24">
        <v>75.840435999999983</v>
      </c>
      <c r="I6" s="24">
        <v>5.0017469999999999</v>
      </c>
      <c r="J6" s="43"/>
    </row>
    <row r="7" spans="2:10">
      <c r="B7" s="4" t="s">
        <v>827</v>
      </c>
      <c r="C7" s="4" t="s">
        <v>839</v>
      </c>
      <c r="D7" s="151">
        <v>1</v>
      </c>
      <c r="E7" s="11" t="s">
        <v>340</v>
      </c>
      <c r="F7" s="4" t="s">
        <v>834</v>
      </c>
      <c r="G7" s="24">
        <v>0.82990900000000001</v>
      </c>
      <c r="H7" s="24">
        <v>296.084339</v>
      </c>
      <c r="I7" s="24">
        <v>450.56858499999998</v>
      </c>
      <c r="J7" s="43"/>
    </row>
    <row r="8" spans="2:10">
      <c r="B8" s="4" t="s">
        <v>828</v>
      </c>
      <c r="C8" s="4" t="s">
        <v>840</v>
      </c>
      <c r="D8" s="151">
        <v>1</v>
      </c>
      <c r="E8" s="11" t="s">
        <v>340</v>
      </c>
      <c r="F8" s="4" t="s">
        <v>834</v>
      </c>
      <c r="G8" s="24">
        <v>2.7252810000000003</v>
      </c>
      <c r="H8" s="24">
        <v>21.02636</v>
      </c>
      <c r="I8" s="24">
        <v>172.59456699999998</v>
      </c>
      <c r="J8" s="43"/>
    </row>
    <row r="9" spans="2:10">
      <c r="B9" s="4" t="s">
        <v>829</v>
      </c>
      <c r="C9" s="4" t="s">
        <v>841</v>
      </c>
      <c r="D9" s="151">
        <v>1</v>
      </c>
      <c r="E9" s="11" t="s">
        <v>340</v>
      </c>
      <c r="F9" s="4" t="s">
        <v>834</v>
      </c>
      <c r="G9" s="24">
        <v>0</v>
      </c>
      <c r="H9" s="24">
        <v>0</v>
      </c>
      <c r="I9" s="24">
        <v>0</v>
      </c>
      <c r="J9" s="43"/>
    </row>
    <row r="10" spans="2:10">
      <c r="B10" s="4" t="s">
        <v>830</v>
      </c>
      <c r="C10" s="4" t="s">
        <v>842</v>
      </c>
      <c r="D10" s="151">
        <v>1</v>
      </c>
      <c r="E10" s="11" t="s">
        <v>340</v>
      </c>
      <c r="F10" s="4" t="s">
        <v>834</v>
      </c>
      <c r="G10" s="24">
        <v>5028.5797899999998</v>
      </c>
      <c r="H10" s="24">
        <v>15616.778409999999</v>
      </c>
      <c r="I10" s="24">
        <v>8857.3877360000097</v>
      </c>
      <c r="J10" s="43"/>
    </row>
    <row r="11" spans="2:10">
      <c r="B11" s="4" t="s">
        <v>831</v>
      </c>
      <c r="C11" s="4" t="s">
        <v>841</v>
      </c>
      <c r="D11" s="151">
        <v>0.49</v>
      </c>
      <c r="E11" s="11" t="s">
        <v>340</v>
      </c>
      <c r="F11" s="4" t="s">
        <v>834</v>
      </c>
      <c r="G11" s="4"/>
      <c r="H11" s="4"/>
      <c r="I11" s="4"/>
    </row>
    <row r="12" spans="2:10">
      <c r="B12" s="4" t="s">
        <v>832</v>
      </c>
      <c r="C12" s="4" t="s">
        <v>843</v>
      </c>
      <c r="D12" s="151">
        <v>1</v>
      </c>
      <c r="E12" s="11" t="s">
        <v>340</v>
      </c>
      <c r="F12" s="4" t="s">
        <v>834</v>
      </c>
      <c r="G12" s="4"/>
      <c r="H12" s="4"/>
      <c r="I12" s="4"/>
    </row>
    <row r="13" spans="2:10">
      <c r="F13" s="8" t="s">
        <v>844</v>
      </c>
      <c r="G13" s="43">
        <f>SUM(G4:G12)</f>
        <v>5228.5609850000001</v>
      </c>
      <c r="H13" s="43">
        <f>SUM(H4:H12)</f>
        <v>16878.296898000001</v>
      </c>
      <c r="I13" s="43">
        <f>SUM(I4:I12)</f>
        <v>10285.860337000009</v>
      </c>
    </row>
    <row r="14" spans="2:10">
      <c r="G14" s="34"/>
      <c r="H14" s="34"/>
      <c r="I14" s="34"/>
    </row>
    <row r="15" spans="2:10">
      <c r="G15" s="43"/>
      <c r="H15" s="43"/>
      <c r="I15" s="43"/>
    </row>
    <row r="17" spans="3:12">
      <c r="G17" s="34"/>
      <c r="H17" s="34"/>
      <c r="I17" s="34"/>
    </row>
    <row r="18" spans="3:12">
      <c r="F18" s="34"/>
      <c r="G18" s="34"/>
      <c r="H18" s="34"/>
      <c r="I18" s="34"/>
    </row>
    <row r="19" spans="3:12">
      <c r="C19" s="34"/>
      <c r="D19" s="34"/>
      <c r="E19" s="34"/>
      <c r="F19" s="34"/>
      <c r="G19" s="34"/>
      <c r="H19" s="34"/>
      <c r="I19" s="34"/>
      <c r="J19" s="34"/>
      <c r="K19" s="34"/>
      <c r="L19" s="34"/>
    </row>
    <row r="20" spans="3:12">
      <c r="C20" s="34"/>
      <c r="D20" s="34"/>
      <c r="E20" s="34"/>
      <c r="F20" s="34"/>
      <c r="G20" s="34"/>
      <c r="H20" s="34"/>
      <c r="I20" s="34"/>
      <c r="J20" s="34"/>
      <c r="K20" s="34"/>
      <c r="L20" s="34"/>
    </row>
    <row r="21" spans="3:12">
      <c r="C21" s="34"/>
      <c r="D21" s="34"/>
      <c r="E21" s="34"/>
      <c r="F21" s="34"/>
      <c r="G21" s="34"/>
      <c r="H21" s="34"/>
      <c r="I21" s="34"/>
      <c r="J21" s="34"/>
      <c r="K21" s="34"/>
      <c r="L21" s="34"/>
    </row>
    <row r="22" spans="3:12">
      <c r="C22" s="34"/>
      <c r="D22" s="34"/>
      <c r="E22" s="34"/>
      <c r="F22" s="34"/>
      <c r="G22" s="34"/>
      <c r="H22" s="34"/>
      <c r="I22" s="34"/>
      <c r="J22" s="34"/>
      <c r="K22" s="34"/>
      <c r="L22" s="34"/>
    </row>
    <row r="23" spans="3:12">
      <c r="C23" s="34"/>
      <c r="D23" s="34"/>
      <c r="E23" s="34"/>
      <c r="F23" s="34"/>
      <c r="G23" s="34"/>
      <c r="H23" s="34"/>
      <c r="I23" s="34"/>
      <c r="J23" s="34"/>
      <c r="K23" s="34"/>
      <c r="L23" s="34"/>
    </row>
    <row r="24" spans="3:12">
      <c r="C24" s="34"/>
      <c r="D24" s="34"/>
      <c r="E24" s="34"/>
      <c r="F24" s="34"/>
      <c r="G24" s="34"/>
      <c r="H24" s="34"/>
      <c r="I24" s="34"/>
      <c r="J24" s="34"/>
      <c r="K24" s="34"/>
      <c r="L24" s="34"/>
    </row>
    <row r="25" spans="3:12">
      <c r="C25" s="34"/>
      <c r="D25" s="34"/>
      <c r="E25" s="34"/>
      <c r="F25" s="34"/>
      <c r="G25" s="34"/>
      <c r="H25" s="34"/>
      <c r="I25" s="34"/>
      <c r="J25" s="34"/>
      <c r="K25" s="34"/>
      <c r="L25" s="34"/>
    </row>
    <row r="26" spans="3:12">
      <c r="C26" s="34"/>
      <c r="D26" s="34"/>
      <c r="E26" s="34"/>
      <c r="F26" s="34"/>
      <c r="G26" s="34"/>
      <c r="H26" s="34"/>
      <c r="I26" s="34"/>
      <c r="J26" s="34"/>
      <c r="K26" s="34"/>
      <c r="L26" s="34"/>
    </row>
    <row r="27" spans="3:12">
      <c r="C27" s="34"/>
      <c r="D27" s="34"/>
      <c r="E27" s="34"/>
      <c r="F27" s="34"/>
      <c r="G27" s="34"/>
      <c r="H27" s="34"/>
      <c r="I27" s="34"/>
      <c r="J27" s="34"/>
      <c r="K27" s="34"/>
      <c r="L27" s="34"/>
    </row>
  </sheetData>
  <mergeCells count="6">
    <mergeCell ref="G2:I2"/>
    <mergeCell ref="B2:B3"/>
    <mergeCell ref="C2:C3"/>
    <mergeCell ref="D2:D3"/>
    <mergeCell ref="E2:E3"/>
    <mergeCell ref="F2:F3"/>
  </mergeCells>
  <phoneticPr fontId="6"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36"/>
  <sheetViews>
    <sheetView topLeftCell="B1" zoomScale="90" zoomScaleNormal="90" workbookViewId="0">
      <selection activeCell="F11" sqref="F11"/>
    </sheetView>
  </sheetViews>
  <sheetFormatPr defaultColWidth="8.59765625" defaultRowHeight="14.4"/>
  <cols>
    <col min="1" max="1" width="8.59765625" style="8"/>
    <col min="2" max="2" width="63.8984375" style="8" bestFit="1" customWidth="1"/>
    <col min="3" max="3" width="11.59765625" style="8" bestFit="1" customWidth="1"/>
    <col min="4" max="4" width="14.3984375" style="8" bestFit="1" customWidth="1"/>
    <col min="5" max="5" width="11.59765625" style="8" bestFit="1" customWidth="1"/>
    <col min="6" max="6" width="14.3984375" style="8" bestFit="1" customWidth="1"/>
    <col min="7" max="7" width="11.59765625" style="8" bestFit="1" customWidth="1"/>
    <col min="8" max="8" width="14.3984375" style="8" bestFit="1" customWidth="1"/>
    <col min="9" max="16384" width="8.59765625" style="8"/>
  </cols>
  <sheetData>
    <row r="2" spans="2:8">
      <c r="B2" s="57" t="s">
        <v>282</v>
      </c>
      <c r="C2" s="57"/>
      <c r="D2" s="57"/>
      <c r="E2" s="57"/>
      <c r="F2" s="57"/>
      <c r="G2" s="57"/>
      <c r="H2" s="57"/>
    </row>
    <row r="3" spans="2:8">
      <c r="B3" s="59" t="s">
        <v>146</v>
      </c>
      <c r="C3" s="237" t="s">
        <v>344</v>
      </c>
      <c r="D3" s="238"/>
      <c r="E3" s="237" t="s">
        <v>339</v>
      </c>
      <c r="F3" s="238"/>
      <c r="G3" s="237" t="s">
        <v>340</v>
      </c>
      <c r="H3" s="238"/>
    </row>
    <row r="4" spans="2:8">
      <c r="B4" s="235" t="s">
        <v>147</v>
      </c>
      <c r="C4" s="235" t="s">
        <v>148</v>
      </c>
      <c r="D4" s="60" t="s">
        <v>149</v>
      </c>
      <c r="E4" s="235" t="s">
        <v>148</v>
      </c>
      <c r="F4" s="60" t="s">
        <v>149</v>
      </c>
      <c r="G4" s="235" t="s">
        <v>148</v>
      </c>
      <c r="H4" s="60" t="s">
        <v>149</v>
      </c>
    </row>
    <row r="5" spans="2:8">
      <c r="B5" s="236"/>
      <c r="C5" s="236"/>
      <c r="D5" s="60" t="s">
        <v>150</v>
      </c>
      <c r="E5" s="236"/>
      <c r="F5" s="60" t="s">
        <v>150</v>
      </c>
      <c r="G5" s="236"/>
      <c r="H5" s="60" t="s">
        <v>150</v>
      </c>
    </row>
    <row r="6" spans="2:8">
      <c r="B6" s="35" t="s">
        <v>786</v>
      </c>
      <c r="C6" s="35"/>
      <c r="D6" s="35"/>
      <c r="E6" s="35" t="s">
        <v>1040</v>
      </c>
      <c r="F6" s="35">
        <v>15.25</v>
      </c>
      <c r="G6" s="35" t="s">
        <v>1040</v>
      </c>
      <c r="H6" s="35">
        <v>15.25</v>
      </c>
    </row>
    <row r="7" spans="2:8">
      <c r="B7" s="35" t="s">
        <v>849</v>
      </c>
      <c r="C7" s="35"/>
      <c r="D7" s="35"/>
      <c r="E7" s="35" t="s">
        <v>1040</v>
      </c>
      <c r="F7" s="35">
        <v>40.75</v>
      </c>
      <c r="G7" s="35" t="s">
        <v>1040</v>
      </c>
      <c r="H7" s="35">
        <v>40.75</v>
      </c>
    </row>
    <row r="8" spans="2:8">
      <c r="B8" s="26"/>
      <c r="C8" s="26"/>
      <c r="D8" s="26"/>
      <c r="E8" s="26"/>
      <c r="F8" s="26"/>
      <c r="G8" s="26"/>
      <c r="H8" s="26"/>
    </row>
    <row r="9" spans="2:8">
      <c r="B9" s="26"/>
      <c r="C9" s="26"/>
      <c r="D9" s="26"/>
      <c r="E9" s="26"/>
      <c r="F9" s="26"/>
      <c r="G9" s="26"/>
      <c r="H9" s="26"/>
    </row>
    <row r="10" spans="2:8">
      <c r="B10" s="26"/>
      <c r="C10" s="26"/>
      <c r="D10" s="26"/>
      <c r="E10" s="26"/>
      <c r="F10" s="26"/>
      <c r="G10" s="26"/>
      <c r="H10" s="26"/>
    </row>
    <row r="11" spans="2:8">
      <c r="B11" s="26"/>
      <c r="C11" s="26"/>
      <c r="D11" s="26"/>
      <c r="E11" s="26"/>
      <c r="F11" s="26"/>
      <c r="G11" s="26"/>
      <c r="H11" s="26"/>
    </row>
    <row r="12" spans="2:8">
      <c r="B12" s="26"/>
      <c r="C12" s="26"/>
      <c r="D12" s="26"/>
      <c r="E12" s="26"/>
      <c r="F12" s="26"/>
      <c r="G12" s="26"/>
      <c r="H12" s="26"/>
    </row>
    <row r="13" spans="2:8">
      <c r="B13" s="26"/>
      <c r="C13" s="26"/>
      <c r="D13" s="26"/>
      <c r="E13" s="26"/>
      <c r="F13" s="26"/>
      <c r="G13" s="26"/>
      <c r="H13" s="26"/>
    </row>
    <row r="14" spans="2:8">
      <c r="B14" s="26"/>
      <c r="C14" s="26"/>
      <c r="D14" s="26"/>
      <c r="E14" s="26"/>
      <c r="F14" s="26"/>
      <c r="G14" s="26"/>
      <c r="H14" s="26"/>
    </row>
    <row r="15" spans="2:8">
      <c r="B15" s="57"/>
      <c r="C15" s="57"/>
      <c r="D15" s="57"/>
      <c r="E15" s="57"/>
      <c r="F15" s="57"/>
      <c r="G15" s="57"/>
      <c r="H15" s="57"/>
    </row>
    <row r="16" spans="2:8">
      <c r="B16" s="57" t="s">
        <v>283</v>
      </c>
      <c r="C16" s="57"/>
      <c r="D16" s="57"/>
      <c r="E16" s="57"/>
      <c r="F16" s="57"/>
      <c r="G16" s="57"/>
      <c r="H16" s="57"/>
    </row>
    <row r="17" spans="2:8">
      <c r="B17" s="59" t="s">
        <v>146</v>
      </c>
      <c r="C17" s="237" t="str">
        <f>C3</f>
        <v>2020年1-6月</v>
      </c>
      <c r="D17" s="238"/>
      <c r="E17" s="237" t="str">
        <f>E3</f>
        <v>2019年</v>
      </c>
      <c r="F17" s="238"/>
      <c r="G17" s="237" t="str">
        <f>G3</f>
        <v>2018年</v>
      </c>
      <c r="H17" s="238"/>
    </row>
    <row r="18" spans="2:8">
      <c r="B18" s="61" t="s">
        <v>147</v>
      </c>
      <c r="C18" s="61" t="s">
        <v>151</v>
      </c>
      <c r="D18" s="61" t="s">
        <v>152</v>
      </c>
      <c r="E18" s="61" t="s">
        <v>151</v>
      </c>
      <c r="F18" s="61" t="s">
        <v>152</v>
      </c>
      <c r="G18" s="61" t="s">
        <v>151</v>
      </c>
      <c r="H18" s="61" t="s">
        <v>152</v>
      </c>
    </row>
    <row r="19" spans="2:8">
      <c r="B19" s="26" t="s">
        <v>852</v>
      </c>
      <c r="C19" s="26" t="s">
        <v>850</v>
      </c>
      <c r="D19" s="70">
        <v>4.08</v>
      </c>
      <c r="E19" s="26" t="s">
        <v>850</v>
      </c>
      <c r="F19" s="70">
        <v>4.08</v>
      </c>
      <c r="G19" s="70" t="s">
        <v>850</v>
      </c>
      <c r="H19" s="70">
        <v>4.08</v>
      </c>
    </row>
    <row r="20" spans="2:8">
      <c r="B20" s="26" t="s">
        <v>845</v>
      </c>
      <c r="C20" s="26" t="s">
        <v>850</v>
      </c>
      <c r="D20" s="70">
        <v>4.08</v>
      </c>
      <c r="E20" s="26" t="s">
        <v>850</v>
      </c>
      <c r="F20" s="70">
        <v>4.08</v>
      </c>
      <c r="G20" s="70" t="s">
        <v>850</v>
      </c>
      <c r="H20" s="70">
        <v>4.08</v>
      </c>
    </row>
    <row r="21" spans="2:8">
      <c r="B21" s="26" t="s">
        <v>846</v>
      </c>
      <c r="C21" s="26" t="s">
        <v>850</v>
      </c>
      <c r="D21" s="70">
        <v>4.05</v>
      </c>
      <c r="E21" s="26" t="s">
        <v>850</v>
      </c>
      <c r="F21" s="70">
        <v>4.05</v>
      </c>
      <c r="G21" s="70" t="s">
        <v>850</v>
      </c>
      <c r="H21" s="70">
        <v>4.05</v>
      </c>
    </row>
    <row r="22" spans="2:8">
      <c r="B22" s="26" t="s">
        <v>853</v>
      </c>
      <c r="C22" s="26" t="s">
        <v>850</v>
      </c>
      <c r="D22" s="70">
        <v>1.3774</v>
      </c>
      <c r="E22" s="26" t="s">
        <v>850</v>
      </c>
      <c r="F22" s="70">
        <v>1.3774</v>
      </c>
      <c r="G22" s="70" t="s">
        <v>850</v>
      </c>
      <c r="H22" s="70">
        <v>0</v>
      </c>
    </row>
    <row r="23" spans="2:8">
      <c r="B23" s="26" t="s">
        <v>854</v>
      </c>
      <c r="C23" s="26" t="s">
        <v>850</v>
      </c>
      <c r="D23" s="70">
        <v>17.685171</v>
      </c>
      <c r="E23" s="26" t="s">
        <v>850</v>
      </c>
      <c r="F23" s="70">
        <v>10.454293</v>
      </c>
      <c r="G23" s="70" t="s">
        <v>850</v>
      </c>
      <c r="H23" s="70">
        <v>77.120549999999994</v>
      </c>
    </row>
    <row r="24" spans="2:8">
      <c r="B24" s="26" t="s">
        <v>848</v>
      </c>
      <c r="C24" s="26" t="s">
        <v>850</v>
      </c>
      <c r="D24" s="70">
        <v>0</v>
      </c>
      <c r="E24" s="26" t="s">
        <v>850</v>
      </c>
      <c r="F24" s="70">
        <v>0</v>
      </c>
      <c r="G24" s="70" t="s">
        <v>850</v>
      </c>
      <c r="H24" s="70">
        <v>110</v>
      </c>
    </row>
    <row r="25" spans="2:8">
      <c r="B25" s="26" t="s">
        <v>855</v>
      </c>
      <c r="C25" s="26" t="s">
        <v>850</v>
      </c>
      <c r="D25" s="70">
        <v>45.452978000000002</v>
      </c>
      <c r="E25" s="26" t="s">
        <v>850</v>
      </c>
      <c r="F25" s="70">
        <v>15.452978</v>
      </c>
      <c r="G25" s="70" t="s">
        <v>850</v>
      </c>
      <c r="H25" s="70">
        <v>17.100000000000001</v>
      </c>
    </row>
    <row r="26" spans="2:8">
      <c r="B26" s="26" t="s">
        <v>856</v>
      </c>
      <c r="C26" s="26" t="s">
        <v>850</v>
      </c>
      <c r="D26" s="70">
        <v>3.25</v>
      </c>
      <c r="E26" s="26" t="s">
        <v>850</v>
      </c>
      <c r="F26" s="70">
        <v>15.86985</v>
      </c>
      <c r="G26" s="70" t="s">
        <v>850</v>
      </c>
      <c r="H26" s="70">
        <v>95.122014000000007</v>
      </c>
    </row>
    <row r="27" spans="2:8">
      <c r="B27" s="26" t="s">
        <v>786</v>
      </c>
      <c r="C27" s="26" t="s">
        <v>850</v>
      </c>
      <c r="D27" s="70">
        <v>20</v>
      </c>
      <c r="E27" s="26" t="s">
        <v>850</v>
      </c>
      <c r="F27" s="70">
        <v>20</v>
      </c>
      <c r="G27" s="70" t="s">
        <v>850</v>
      </c>
      <c r="H27" s="70">
        <v>20</v>
      </c>
    </row>
    <row r="28" spans="2:8">
      <c r="B28" s="4" t="s">
        <v>857</v>
      </c>
      <c r="C28" s="26" t="s">
        <v>850</v>
      </c>
      <c r="D28" s="24">
        <v>0.72907600000000006</v>
      </c>
      <c r="E28" s="26" t="s">
        <v>850</v>
      </c>
      <c r="F28" s="24">
        <v>1.217624</v>
      </c>
      <c r="G28" s="70" t="s">
        <v>850</v>
      </c>
      <c r="H28" s="24">
        <v>1.3380840000000001</v>
      </c>
    </row>
    <row r="29" spans="2:8">
      <c r="B29" s="4" t="s">
        <v>726</v>
      </c>
      <c r="C29" s="26" t="s">
        <v>850</v>
      </c>
      <c r="D29" s="24">
        <v>26.37</v>
      </c>
      <c r="E29" s="26" t="s">
        <v>850</v>
      </c>
      <c r="F29" s="24">
        <v>26.37</v>
      </c>
      <c r="G29" s="70" t="s">
        <v>850</v>
      </c>
      <c r="H29" s="24">
        <v>24.357470000000003</v>
      </c>
    </row>
    <row r="30" spans="2:8">
      <c r="B30" s="4" t="s">
        <v>858</v>
      </c>
      <c r="C30" s="4" t="s">
        <v>851</v>
      </c>
      <c r="D30" s="24">
        <v>2.8704999999999998</v>
      </c>
      <c r="E30" s="4" t="s">
        <v>851</v>
      </c>
      <c r="F30" s="186">
        <v>0</v>
      </c>
      <c r="G30" s="24" t="s">
        <v>851</v>
      </c>
      <c r="H30" s="24">
        <v>2.8704999999999998</v>
      </c>
    </row>
    <row r="31" spans="2:8">
      <c r="B31" s="4" t="s">
        <v>847</v>
      </c>
      <c r="C31" s="4" t="s">
        <v>851</v>
      </c>
      <c r="D31" s="24">
        <v>0</v>
      </c>
      <c r="E31" s="4" t="s">
        <v>851</v>
      </c>
      <c r="F31" s="24">
        <v>0</v>
      </c>
      <c r="G31" s="24" t="s">
        <v>851</v>
      </c>
      <c r="H31" s="24">
        <v>2</v>
      </c>
    </row>
    <row r="32" spans="2:8">
      <c r="B32" s="4" t="s">
        <v>431</v>
      </c>
      <c r="C32" s="4" t="s">
        <v>851</v>
      </c>
      <c r="D32" s="24">
        <v>0</v>
      </c>
      <c r="E32" s="4" t="s">
        <v>851</v>
      </c>
      <c r="F32" s="24">
        <v>9.2728559999999991</v>
      </c>
      <c r="G32" s="24" t="s">
        <v>851</v>
      </c>
      <c r="H32" s="24">
        <v>3.3576699999999997</v>
      </c>
    </row>
    <row r="33" spans="2:8">
      <c r="B33" s="4" t="s">
        <v>849</v>
      </c>
      <c r="C33" s="4" t="s">
        <v>851</v>
      </c>
      <c r="D33" s="24">
        <v>0</v>
      </c>
      <c r="E33" s="4" t="s">
        <v>851</v>
      </c>
      <c r="F33" s="24">
        <v>0</v>
      </c>
      <c r="G33" s="24" t="s">
        <v>851</v>
      </c>
      <c r="H33" s="24">
        <v>40.751082000000004</v>
      </c>
    </row>
    <row r="34" spans="2:8">
      <c r="B34" s="4" t="s">
        <v>786</v>
      </c>
      <c r="C34" s="4" t="s">
        <v>851</v>
      </c>
      <c r="D34" s="24">
        <v>50.001715000000004</v>
      </c>
      <c r="E34" s="4" t="s">
        <v>851</v>
      </c>
      <c r="F34" s="24">
        <v>52.165965</v>
      </c>
      <c r="G34" s="24" t="s">
        <v>851</v>
      </c>
      <c r="H34" s="24">
        <v>37.356687000000001</v>
      </c>
    </row>
    <row r="35" spans="2:8">
      <c r="B35" s="4" t="s">
        <v>724</v>
      </c>
      <c r="C35" s="4" t="s">
        <v>851</v>
      </c>
      <c r="D35" s="24">
        <v>154.33451100000002</v>
      </c>
      <c r="E35" s="4" t="s">
        <v>851</v>
      </c>
      <c r="F35" s="24">
        <v>2012.5110110000001</v>
      </c>
      <c r="G35" s="24" t="s">
        <v>851</v>
      </c>
      <c r="H35" s="24">
        <v>1619.1068460000001</v>
      </c>
    </row>
    <row r="36" spans="2:8">
      <c r="B36" s="4" t="s">
        <v>726</v>
      </c>
      <c r="C36" s="4" t="s">
        <v>851</v>
      </c>
      <c r="D36" s="24">
        <v>3.5999999999999997E-2</v>
      </c>
      <c r="E36" s="4" t="s">
        <v>851</v>
      </c>
      <c r="F36" s="24">
        <v>3.5999999999999997E-2</v>
      </c>
      <c r="G36" s="24" t="s">
        <v>851</v>
      </c>
      <c r="H36" s="24">
        <v>3.5999999999999997E-2</v>
      </c>
    </row>
  </sheetData>
  <mergeCells count="10">
    <mergeCell ref="E17:F17"/>
    <mergeCell ref="G17:H17"/>
    <mergeCell ref="E3:F3"/>
    <mergeCell ref="G3:H3"/>
    <mergeCell ref="C17:D17"/>
    <mergeCell ref="B4:B5"/>
    <mergeCell ref="E4:E5"/>
    <mergeCell ref="G4:G5"/>
    <mergeCell ref="C3:D3"/>
    <mergeCell ref="C4:C5"/>
  </mergeCells>
  <phoneticPr fontId="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22"/>
  <sheetViews>
    <sheetView topLeftCell="A4" zoomScale="90" zoomScaleNormal="90" workbookViewId="0">
      <selection activeCell="G17" sqref="G17"/>
    </sheetView>
  </sheetViews>
  <sheetFormatPr defaultColWidth="8.59765625" defaultRowHeight="14.4"/>
  <cols>
    <col min="1" max="1" width="2.09765625" style="8" customWidth="1"/>
    <col min="2" max="2" width="44.59765625" style="8" bestFit="1" customWidth="1"/>
    <col min="3" max="5" width="17.09765625" style="8" bestFit="1" customWidth="1"/>
    <col min="6" max="6" width="11.59765625" style="8" bestFit="1" customWidth="1"/>
    <col min="7" max="9" width="8.59765625" style="8"/>
    <col min="10" max="10" width="15.59765625" style="34" bestFit="1" customWidth="1"/>
    <col min="11" max="16384" width="8.59765625" style="8"/>
  </cols>
  <sheetData>
    <row r="1" spans="2:7">
      <c r="B1" s="8" t="s">
        <v>190</v>
      </c>
    </row>
    <row r="2" spans="2:7">
      <c r="B2" s="231" t="s">
        <v>182</v>
      </c>
      <c r="C2" s="231" t="s">
        <v>186</v>
      </c>
      <c r="D2" s="239" t="s">
        <v>187</v>
      </c>
      <c r="E2" s="240"/>
      <c r="F2" s="231" t="s">
        <v>183</v>
      </c>
      <c r="G2" s="231" t="s">
        <v>184</v>
      </c>
    </row>
    <row r="3" spans="2:7">
      <c r="B3" s="232"/>
      <c r="C3" s="232"/>
      <c r="D3" s="79" t="s">
        <v>189</v>
      </c>
      <c r="E3" s="79" t="s">
        <v>188</v>
      </c>
      <c r="F3" s="232"/>
      <c r="G3" s="232"/>
    </row>
    <row r="4" spans="2:7">
      <c r="B4" s="4" t="s">
        <v>817</v>
      </c>
      <c r="C4" s="90">
        <v>3373.95</v>
      </c>
      <c r="D4" s="90">
        <v>3373.95</v>
      </c>
      <c r="E4" s="24">
        <v>1260</v>
      </c>
      <c r="F4" s="90" t="s">
        <v>859</v>
      </c>
      <c r="G4" s="91">
        <v>0.64680000000000004</v>
      </c>
    </row>
    <row r="5" spans="2:7">
      <c r="B5" s="4" t="s">
        <v>818</v>
      </c>
      <c r="C5" s="90">
        <v>221.5</v>
      </c>
      <c r="D5" s="90">
        <v>221.5</v>
      </c>
      <c r="E5" s="90">
        <v>0</v>
      </c>
      <c r="F5" s="90" t="s">
        <v>859</v>
      </c>
      <c r="G5" s="91">
        <v>4.4299999999999999E-2</v>
      </c>
    </row>
    <row r="6" spans="2:7">
      <c r="B6" s="4" t="s">
        <v>819</v>
      </c>
      <c r="C6" s="90">
        <v>620.1</v>
      </c>
      <c r="D6" s="90">
        <v>620.1</v>
      </c>
      <c r="E6" s="90">
        <v>0</v>
      </c>
      <c r="F6" s="90" t="s">
        <v>859</v>
      </c>
      <c r="G6" s="91">
        <v>0.124</v>
      </c>
    </row>
    <row r="7" spans="2:7">
      <c r="B7" s="4" t="s">
        <v>820</v>
      </c>
      <c r="C7" s="90">
        <v>354.45</v>
      </c>
      <c r="D7" s="90">
        <v>354.45</v>
      </c>
      <c r="E7" s="90">
        <v>0</v>
      </c>
      <c r="F7" s="90" t="s">
        <v>859</v>
      </c>
      <c r="G7" s="91">
        <v>7.0900000000000005E-2</v>
      </c>
    </row>
    <row r="8" spans="2:7">
      <c r="B8" s="4" t="s">
        <v>821</v>
      </c>
      <c r="C8" s="90">
        <v>570</v>
      </c>
      <c r="D8" s="90">
        <v>570</v>
      </c>
      <c r="E8" s="24">
        <v>2900</v>
      </c>
      <c r="F8" s="90" t="s">
        <v>859</v>
      </c>
      <c r="G8" s="91">
        <v>0.114</v>
      </c>
    </row>
    <row r="9" spans="2:7">
      <c r="B9" s="35" t="s">
        <v>822</v>
      </c>
      <c r="C9" s="90">
        <v>0</v>
      </c>
      <c r="D9" s="90">
        <v>0</v>
      </c>
      <c r="E9" s="24">
        <v>2199.7669339999998</v>
      </c>
      <c r="F9" s="90"/>
      <c r="G9" s="91"/>
    </row>
    <row r="10" spans="2:7">
      <c r="B10" s="35" t="s">
        <v>860</v>
      </c>
      <c r="C10" s="90">
        <v>0</v>
      </c>
      <c r="D10" s="90">
        <v>0</v>
      </c>
      <c r="E10" s="24">
        <v>805.00368300000002</v>
      </c>
      <c r="F10" s="90"/>
      <c r="G10" s="91"/>
    </row>
    <row r="11" spans="2:7">
      <c r="B11" s="25" t="s">
        <v>185</v>
      </c>
      <c r="C11" s="90">
        <f>SUM(C4:C10)</f>
        <v>5140</v>
      </c>
      <c r="D11" s="90">
        <f>SUM(D4:D10)</f>
        <v>5140</v>
      </c>
      <c r="E11" s="90">
        <f>SUM(E4:E10)</f>
        <v>7164.7706169999992</v>
      </c>
      <c r="F11" s="90"/>
      <c r="G11" s="91"/>
    </row>
    <row r="12" spans="2:7">
      <c r="C12" s="36"/>
      <c r="D12" s="152"/>
      <c r="E12" s="152"/>
    </row>
    <row r="13" spans="2:7">
      <c r="C13" s="36"/>
      <c r="D13" s="152"/>
      <c r="E13" s="152"/>
    </row>
    <row r="16" spans="2:7">
      <c r="C16" s="43"/>
      <c r="D16" s="43"/>
      <c r="E16" s="43"/>
    </row>
    <row r="17" spans="3:5">
      <c r="C17" s="43"/>
      <c r="D17" s="43"/>
      <c r="E17" s="43"/>
    </row>
    <row r="18" spans="3:5">
      <c r="C18" s="43"/>
      <c r="D18" s="43"/>
      <c r="E18" s="43"/>
    </row>
    <row r="19" spans="3:5">
      <c r="C19" s="43"/>
      <c r="D19" s="43"/>
      <c r="E19" s="43"/>
    </row>
    <row r="20" spans="3:5">
      <c r="C20" s="43"/>
      <c r="D20" s="43"/>
      <c r="E20" s="43"/>
    </row>
    <row r="21" spans="3:5">
      <c r="C21" s="43"/>
      <c r="D21" s="43"/>
      <c r="E21" s="43"/>
    </row>
    <row r="22" spans="3:5">
      <c r="C22" s="43"/>
      <c r="D22" s="43"/>
      <c r="E22" s="43"/>
    </row>
  </sheetData>
  <mergeCells count="5">
    <mergeCell ref="D2:E2"/>
    <mergeCell ref="C2:C3"/>
    <mergeCell ref="B2:B3"/>
    <mergeCell ref="F2:F3"/>
    <mergeCell ref="G2:G3"/>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32"/>
  <sheetViews>
    <sheetView zoomScale="90" zoomScaleNormal="90" workbookViewId="0">
      <selection activeCell="G10" sqref="G10"/>
    </sheetView>
  </sheetViews>
  <sheetFormatPr defaultColWidth="8.59765625" defaultRowHeight="14.4"/>
  <cols>
    <col min="1" max="1" width="2.3984375" style="8" customWidth="1"/>
    <col min="2" max="2" width="22.3984375" style="8" bestFit="1" customWidth="1"/>
    <col min="3" max="3" width="12.59765625" style="8" customWidth="1"/>
    <col min="4" max="4" width="42.3984375" style="216" customWidth="1"/>
    <col min="5" max="5" width="17.5" style="8" customWidth="1"/>
    <col min="6" max="16384" width="8.59765625" style="8"/>
  </cols>
  <sheetData>
    <row r="1" spans="2:5">
      <c r="E1" s="11" t="s">
        <v>1039</v>
      </c>
    </row>
    <row r="2" spans="2:5">
      <c r="B2" s="64" t="s">
        <v>83</v>
      </c>
      <c r="C2" s="58" t="s">
        <v>337</v>
      </c>
      <c r="D2" s="219" t="s">
        <v>163</v>
      </c>
      <c r="E2" s="58" t="s">
        <v>337</v>
      </c>
    </row>
    <row r="3" spans="2:5">
      <c r="B3" s="45" t="s">
        <v>164</v>
      </c>
      <c r="C3" s="85">
        <v>25000</v>
      </c>
      <c r="D3" s="220" t="s">
        <v>1034</v>
      </c>
      <c r="E3" s="35"/>
    </row>
    <row r="4" spans="2:5">
      <c r="B4" s="45" t="s">
        <v>165</v>
      </c>
      <c r="C4" s="85">
        <v>9500</v>
      </c>
      <c r="D4" s="220" t="s">
        <v>1029</v>
      </c>
      <c r="E4" s="35"/>
    </row>
    <row r="5" spans="2:5">
      <c r="B5" s="45" t="s">
        <v>166</v>
      </c>
      <c r="C5" s="85">
        <v>60</v>
      </c>
      <c r="D5" s="220" t="s">
        <v>1030</v>
      </c>
      <c r="E5" s="35"/>
    </row>
    <row r="6" spans="2:5" ht="43.2">
      <c r="B6" s="45" t="s">
        <v>167</v>
      </c>
      <c r="C6" s="85">
        <v>4500</v>
      </c>
      <c r="D6" s="220" t="s">
        <v>1035</v>
      </c>
      <c r="E6" s="35">
        <f>60*30</f>
        <v>1800</v>
      </c>
    </row>
    <row r="7" spans="2:5" ht="28.8">
      <c r="B7" s="45" t="s">
        <v>168</v>
      </c>
      <c r="C7" s="85">
        <v>2895</v>
      </c>
      <c r="D7" s="220" t="s">
        <v>1036</v>
      </c>
      <c r="E7" s="35">
        <f>7*150+44*20</f>
        <v>1930</v>
      </c>
    </row>
    <row r="8" spans="2:5" ht="28.8">
      <c r="B8" s="45" t="s">
        <v>225</v>
      </c>
      <c r="C8" s="85">
        <v>4500</v>
      </c>
      <c r="D8" s="220" t="s">
        <v>1037</v>
      </c>
      <c r="E8" s="35">
        <f>100*30</f>
        <v>3000</v>
      </c>
    </row>
    <row r="9" spans="2:5" ht="18" customHeight="1">
      <c r="B9" s="45" t="s">
        <v>169</v>
      </c>
      <c r="C9" s="85">
        <v>195.75</v>
      </c>
      <c r="D9" s="220" t="s">
        <v>1031</v>
      </c>
      <c r="E9" s="35"/>
    </row>
    <row r="10" spans="2:5">
      <c r="B10" s="45" t="s">
        <v>170</v>
      </c>
      <c r="C10" s="85"/>
      <c r="D10" s="220"/>
      <c r="E10" s="4"/>
    </row>
    <row r="11" spans="2:5" ht="22.5" customHeight="1">
      <c r="B11" s="45" t="s">
        <v>226</v>
      </c>
      <c r="C11" s="85">
        <v>1455</v>
      </c>
      <c r="D11" s="220" t="s">
        <v>1032</v>
      </c>
      <c r="E11" s="4"/>
    </row>
    <row r="12" spans="2:5">
      <c r="B12" s="45" t="s">
        <v>227</v>
      </c>
      <c r="C12" s="85"/>
      <c r="D12" s="220"/>
      <c r="E12" s="4"/>
    </row>
    <row r="13" spans="2:5">
      <c r="B13" s="45" t="s">
        <v>171</v>
      </c>
      <c r="C13" s="86">
        <v>4804.25</v>
      </c>
      <c r="D13" s="220"/>
      <c r="E13" s="4"/>
    </row>
    <row r="14" spans="2:5">
      <c r="B14" s="45" t="s">
        <v>172</v>
      </c>
      <c r="C14" s="85">
        <v>500</v>
      </c>
      <c r="D14" s="220" t="s">
        <v>1033</v>
      </c>
      <c r="E14" s="4"/>
    </row>
    <row r="15" spans="2:5">
      <c r="B15" s="45" t="s">
        <v>173</v>
      </c>
      <c r="C15" s="85"/>
      <c r="D15" s="220"/>
      <c r="E15" s="4"/>
    </row>
    <row r="16" spans="2:5">
      <c r="B16" s="45" t="s">
        <v>174</v>
      </c>
      <c r="C16" s="86">
        <v>5304.25</v>
      </c>
      <c r="D16" s="220"/>
      <c r="E16" s="4"/>
    </row>
    <row r="17" spans="2:5">
      <c r="B17" s="45" t="s">
        <v>181</v>
      </c>
      <c r="C17" s="29">
        <v>323.13749999999999</v>
      </c>
      <c r="D17" s="220"/>
      <c r="E17" s="4"/>
    </row>
    <row r="18" spans="2:5">
      <c r="B18" s="45" t="s">
        <v>175</v>
      </c>
      <c r="C18" s="86">
        <v>4981.1125000000002</v>
      </c>
      <c r="D18" s="220"/>
      <c r="E18" s="4"/>
    </row>
    <row r="19" spans="2:5">
      <c r="B19" s="45" t="s">
        <v>176</v>
      </c>
      <c r="C19" s="87">
        <v>0.62</v>
      </c>
      <c r="D19" s="221"/>
      <c r="E19" s="4"/>
    </row>
    <row r="20" spans="2:5">
      <c r="B20" s="45" t="s">
        <v>177</v>
      </c>
      <c r="C20" s="87">
        <v>0.18</v>
      </c>
      <c r="D20" s="221"/>
      <c r="E20" s="4"/>
    </row>
    <row r="21" spans="2:5">
      <c r="B21" s="45" t="s">
        <v>178</v>
      </c>
      <c r="C21" s="87">
        <v>0.1158</v>
      </c>
      <c r="D21" s="221"/>
      <c r="E21" s="4"/>
    </row>
    <row r="22" spans="2:5">
      <c r="B22" s="45" t="s">
        <v>179</v>
      </c>
      <c r="C22" s="87">
        <v>0.19217000000000001</v>
      </c>
      <c r="D22" s="221"/>
      <c r="E22" s="4"/>
    </row>
    <row r="23" spans="2:5">
      <c r="B23" s="45" t="s">
        <v>180</v>
      </c>
      <c r="C23" s="87">
        <v>0.19924450000000002</v>
      </c>
      <c r="D23" s="221"/>
      <c r="E23" s="4"/>
    </row>
    <row r="26" spans="2:5">
      <c r="B26" s="8" t="s">
        <v>324</v>
      </c>
    </row>
    <row r="27" spans="2:5">
      <c r="B27" s="64" t="s">
        <v>321</v>
      </c>
      <c r="C27" s="58" t="s">
        <v>322</v>
      </c>
      <c r="D27" s="188" t="s">
        <v>323</v>
      </c>
      <c r="E27" s="58" t="s">
        <v>295</v>
      </c>
    </row>
    <row r="28" spans="2:5">
      <c r="B28" s="4"/>
      <c r="C28" s="4"/>
      <c r="D28" s="105"/>
      <c r="E28" s="4"/>
    </row>
    <row r="29" spans="2:5">
      <c r="B29" s="4"/>
      <c r="C29" s="4"/>
      <c r="D29" s="105"/>
      <c r="E29" s="4"/>
    </row>
    <row r="30" spans="2:5">
      <c r="B30" s="4"/>
      <c r="C30" s="4"/>
      <c r="D30" s="105"/>
      <c r="E30" s="4"/>
    </row>
    <row r="31" spans="2:5">
      <c r="B31" s="4"/>
      <c r="C31" s="4"/>
      <c r="D31" s="105"/>
      <c r="E31" s="4"/>
    </row>
    <row r="32" spans="2:5">
      <c r="B32" s="4"/>
      <c r="C32" s="4"/>
      <c r="D32" s="105"/>
      <c r="E32" s="4"/>
    </row>
  </sheetData>
  <phoneticPr fontId="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111"/>
  <sheetViews>
    <sheetView topLeftCell="A103" zoomScale="90" zoomScaleNormal="90" workbookViewId="0">
      <selection activeCell="C67" sqref="C67"/>
    </sheetView>
  </sheetViews>
  <sheetFormatPr defaultColWidth="20.09765625" defaultRowHeight="14.4"/>
  <cols>
    <col min="1" max="1" width="2.3984375" style="8" customWidth="1"/>
    <col min="2" max="2" width="31.3984375" style="8" customWidth="1"/>
    <col min="3" max="5" width="22.09765625" style="34" customWidth="1"/>
    <col min="6" max="16384" width="20.09765625" style="8"/>
  </cols>
  <sheetData>
    <row r="2" spans="2:8">
      <c r="B2" s="58" t="s">
        <v>83</v>
      </c>
      <c r="C2" s="67" t="s">
        <v>344</v>
      </c>
      <c r="D2" s="67" t="s">
        <v>336</v>
      </c>
      <c r="E2" s="67" t="s">
        <v>341</v>
      </c>
    </row>
    <row r="3" spans="2:8">
      <c r="B3" s="74" t="s">
        <v>85</v>
      </c>
      <c r="C3" s="24">
        <v>52285609.850000001</v>
      </c>
      <c r="D3" s="24">
        <v>168782968.97999999</v>
      </c>
      <c r="E3" s="24">
        <v>102858603.37</v>
      </c>
    </row>
    <row r="4" spans="2:8">
      <c r="B4" s="74" t="s">
        <v>165</v>
      </c>
      <c r="C4" s="24">
        <v>18704844.010000002</v>
      </c>
      <c r="D4" s="125">
        <v>62259074.57</v>
      </c>
      <c r="E4" s="70">
        <v>48973868.609999999</v>
      </c>
      <c r="F4" s="106"/>
      <c r="G4" s="106"/>
      <c r="H4" s="106"/>
    </row>
    <row r="5" spans="2:8">
      <c r="B5" s="74" t="s">
        <v>207</v>
      </c>
      <c r="C5" s="24">
        <v>320765.71999999997</v>
      </c>
      <c r="D5" s="125">
        <v>1733639.09</v>
      </c>
      <c r="E5" s="70">
        <v>1000475.49</v>
      </c>
      <c r="F5" s="43"/>
      <c r="G5" s="43"/>
      <c r="H5" s="43"/>
    </row>
    <row r="6" spans="2:8">
      <c r="B6" s="74" t="s">
        <v>214</v>
      </c>
      <c r="C6" s="24">
        <v>10686227.689999999</v>
      </c>
      <c r="D6" s="125">
        <v>27058954.530000001</v>
      </c>
      <c r="E6" s="70">
        <v>26546431.870000001</v>
      </c>
      <c r="F6" s="43"/>
      <c r="G6" s="43"/>
      <c r="H6" s="43"/>
    </row>
    <row r="7" spans="2:8">
      <c r="B7" s="74" t="s">
        <v>191</v>
      </c>
      <c r="C7" s="24">
        <v>10758744.9</v>
      </c>
      <c r="D7" s="125">
        <v>25466452.18</v>
      </c>
      <c r="E7" s="70">
        <v>39143769.990000002</v>
      </c>
    </row>
    <row r="8" spans="2:8">
      <c r="B8" s="74" t="s">
        <v>200</v>
      </c>
      <c r="C8" s="24">
        <v>13073868.560000001</v>
      </c>
      <c r="D8" s="125">
        <v>19253675.57</v>
      </c>
      <c r="E8" s="125">
        <v>38476828.850000001</v>
      </c>
    </row>
    <row r="9" spans="2:8">
      <c r="B9" s="74" t="s">
        <v>192</v>
      </c>
      <c r="C9" s="24">
        <v>1018185.44</v>
      </c>
      <c r="D9" s="125">
        <v>4025482.76</v>
      </c>
      <c r="E9" s="70">
        <v>1535045.17</v>
      </c>
      <c r="F9" s="34"/>
      <c r="G9" s="34"/>
      <c r="H9" s="34"/>
    </row>
    <row r="10" spans="2:8" s="95" customFormat="1">
      <c r="B10" s="96" t="s">
        <v>201</v>
      </c>
      <c r="C10" s="126"/>
      <c r="D10" s="126"/>
      <c r="E10" s="135"/>
      <c r="F10" s="101"/>
      <c r="G10" s="101"/>
      <c r="H10" s="101"/>
    </row>
    <row r="11" spans="2:8" s="95" customFormat="1">
      <c r="B11" s="96" t="s">
        <v>202</v>
      </c>
      <c r="C11" s="126"/>
      <c r="D11" s="126"/>
      <c r="E11" s="135"/>
    </row>
    <row r="12" spans="2:8">
      <c r="B12" s="75" t="s">
        <v>193</v>
      </c>
      <c r="C12" s="24">
        <v>-51121.94</v>
      </c>
      <c r="D12" s="127">
        <v>-260037.34</v>
      </c>
      <c r="E12" s="129">
        <v>1028571.34</v>
      </c>
    </row>
    <row r="13" spans="2:8">
      <c r="B13" s="75" t="s">
        <v>203</v>
      </c>
      <c r="C13" s="24">
        <v>3222177.19</v>
      </c>
      <c r="D13" s="127">
        <v>4412148.3099999996</v>
      </c>
      <c r="E13" s="129">
        <v>4332560.3600000003</v>
      </c>
    </row>
    <row r="14" spans="2:8">
      <c r="B14" s="75" t="s">
        <v>204</v>
      </c>
      <c r="C14" s="24">
        <v>-162640.31000000006</v>
      </c>
      <c r="D14" s="127"/>
      <c r="E14" s="129"/>
    </row>
    <row r="15" spans="2:8">
      <c r="B15" s="97" t="s">
        <v>208</v>
      </c>
      <c r="C15" s="128"/>
      <c r="D15" s="136"/>
      <c r="E15" s="137"/>
    </row>
    <row r="16" spans="2:8">
      <c r="B16" s="75" t="s">
        <v>205</v>
      </c>
      <c r="C16" s="127"/>
      <c r="D16" s="127"/>
      <c r="E16" s="129"/>
    </row>
    <row r="17" spans="2:5">
      <c r="B17" s="75" t="s">
        <v>206</v>
      </c>
      <c r="C17" s="127"/>
      <c r="D17" s="127">
        <v>10976.08</v>
      </c>
      <c r="E17" s="129">
        <v>2182.94</v>
      </c>
    </row>
    <row r="18" spans="2:5">
      <c r="B18" s="74" t="s">
        <v>209</v>
      </c>
      <c r="C18" s="129">
        <f>C3-C4-C5-C6-C7-C8-C9-C12+C17+C14+C13+C16</f>
        <v>833632.35000000615</v>
      </c>
      <c r="D18" s="129">
        <f t="shared" ref="D18:E18" si="0">D3-D4-D5-D6-D7-D8-D9-D12+D17+D14+D13+D16</f>
        <v>33668852.00999999</v>
      </c>
      <c r="E18" s="129">
        <f t="shared" si="0"/>
        <v>-49511644.650000006</v>
      </c>
    </row>
    <row r="19" spans="2:5">
      <c r="B19" s="74" t="s">
        <v>194</v>
      </c>
      <c r="C19" s="24">
        <v>263707.32</v>
      </c>
      <c r="D19" s="70">
        <v>257893.72</v>
      </c>
      <c r="E19" s="70">
        <v>119442.23</v>
      </c>
    </row>
    <row r="20" spans="2:5">
      <c r="B20" s="74" t="s">
        <v>195</v>
      </c>
      <c r="C20" s="24">
        <v>5675.97</v>
      </c>
      <c r="D20" s="70">
        <v>8941.92</v>
      </c>
      <c r="E20" s="70">
        <v>443773.86</v>
      </c>
    </row>
    <row r="21" spans="2:5">
      <c r="B21" s="74" t="s">
        <v>210</v>
      </c>
      <c r="C21" s="129">
        <f>C18+C19-C20</f>
        <v>1091663.7000000062</v>
      </c>
      <c r="D21" s="129">
        <f>D18+D19-D20</f>
        <v>33917803.809999987</v>
      </c>
      <c r="E21" s="129">
        <f t="shared" ref="E21" si="1">E18+E19-E20</f>
        <v>-49835976.280000009</v>
      </c>
    </row>
    <row r="22" spans="2:5">
      <c r="B22" s="74" t="s">
        <v>211</v>
      </c>
      <c r="C22" s="125">
        <v>-92672.81</v>
      </c>
      <c r="D22" s="70">
        <v>4627049.22</v>
      </c>
      <c r="E22" s="70">
        <v>-7689264.7699999996</v>
      </c>
    </row>
    <row r="23" spans="2:5">
      <c r="B23" s="74" t="s">
        <v>212</v>
      </c>
      <c r="C23" s="129">
        <f>C21-C22</f>
        <v>1184336.5100000063</v>
      </c>
      <c r="D23" s="129">
        <f>D21-D22</f>
        <v>29290754.589999989</v>
      </c>
      <c r="E23" s="129">
        <f>E21-E22</f>
        <v>-42146711.510000005</v>
      </c>
    </row>
    <row r="24" spans="2:5">
      <c r="B24" s="74" t="s">
        <v>112</v>
      </c>
      <c r="C24" s="125">
        <v>-292149.68</v>
      </c>
      <c r="D24" s="129">
        <v>-5233.47</v>
      </c>
      <c r="E24" s="129">
        <v>-875691.55</v>
      </c>
    </row>
    <row r="25" spans="2:5">
      <c r="B25" s="74" t="s">
        <v>113</v>
      </c>
      <c r="C25" s="129">
        <f>C23-C24</f>
        <v>1476486.1900000062</v>
      </c>
      <c r="D25" s="129">
        <f>D23-D24</f>
        <v>29295988.059999987</v>
      </c>
      <c r="E25" s="129">
        <f>E23-E24</f>
        <v>-41271019.960000008</v>
      </c>
    </row>
    <row r="28" spans="2:5">
      <c r="B28" s="88" t="s">
        <v>84</v>
      </c>
      <c r="C28" s="130" t="s">
        <v>345</v>
      </c>
      <c r="D28" s="130" t="s">
        <v>343</v>
      </c>
      <c r="E28" s="130" t="s">
        <v>342</v>
      </c>
    </row>
    <row r="29" spans="2:5">
      <c r="B29" s="94" t="s">
        <v>0</v>
      </c>
      <c r="C29" s="131"/>
      <c r="D29" s="127"/>
      <c r="E29" s="129"/>
    </row>
    <row r="30" spans="2:5">
      <c r="B30" s="76" t="s">
        <v>228</v>
      </c>
      <c r="C30" s="127">
        <v>6235100.79</v>
      </c>
      <c r="D30" s="127">
        <v>7066692.6699999999</v>
      </c>
      <c r="E30" s="129">
        <v>5555950.6900000004</v>
      </c>
    </row>
    <row r="31" spans="2:5">
      <c r="B31" s="76" t="s">
        <v>229</v>
      </c>
      <c r="C31" s="127">
        <v>100000</v>
      </c>
      <c r="D31" s="127"/>
      <c r="E31" s="129"/>
    </row>
    <row r="32" spans="2:5">
      <c r="B32" s="76" t="s">
        <v>230</v>
      </c>
      <c r="C32" s="127"/>
      <c r="D32" s="127"/>
      <c r="E32" s="129"/>
    </row>
    <row r="33" spans="2:8">
      <c r="B33" s="76" t="s">
        <v>289</v>
      </c>
      <c r="C33" s="127">
        <v>2753608.64</v>
      </c>
      <c r="D33" s="127">
        <v>3678946.63</v>
      </c>
      <c r="E33" s="129">
        <v>4278736.83</v>
      </c>
      <c r="F33" s="102"/>
      <c r="G33" s="43"/>
    </row>
    <row r="34" spans="2:8">
      <c r="B34" s="76" t="s">
        <v>288</v>
      </c>
      <c r="C34" s="134">
        <v>62606575.07</v>
      </c>
      <c r="D34" s="127">
        <v>65784661.109999999</v>
      </c>
      <c r="E34" s="129">
        <v>28800007.489999998</v>
      </c>
      <c r="F34" s="102"/>
    </row>
    <row r="35" spans="2:8">
      <c r="B35" s="76" t="s">
        <v>231</v>
      </c>
      <c r="C35" s="127">
        <v>4285208.58</v>
      </c>
      <c r="D35" s="127">
        <v>2758644.68</v>
      </c>
      <c r="E35" s="129">
        <v>5721705.2400000002</v>
      </c>
      <c r="H35" s="93"/>
    </row>
    <row r="36" spans="2:8">
      <c r="B36" s="77" t="s">
        <v>232</v>
      </c>
      <c r="C36" s="125">
        <v>10530186.560000001</v>
      </c>
      <c r="D36" s="125">
        <v>6753864.3600000003</v>
      </c>
      <c r="E36" s="129">
        <v>7541581.5199999996</v>
      </c>
      <c r="H36" s="93"/>
    </row>
    <row r="37" spans="2:8">
      <c r="B37" s="76" t="s">
        <v>233</v>
      </c>
      <c r="C37" s="127">
        <v>21156647.449999999</v>
      </c>
      <c r="D37" s="127">
        <v>20023877.620000001</v>
      </c>
      <c r="E37" s="129">
        <v>20642195.43</v>
      </c>
    </row>
    <row r="38" spans="2:8">
      <c r="B38" s="76" t="s">
        <v>234</v>
      </c>
      <c r="C38" s="127"/>
      <c r="D38" s="127"/>
      <c r="E38" s="129"/>
    </row>
    <row r="39" spans="2:8">
      <c r="B39" s="76" t="s">
        <v>235</v>
      </c>
      <c r="C39" s="127"/>
      <c r="D39" s="127"/>
      <c r="E39" s="129"/>
    </row>
    <row r="40" spans="2:8">
      <c r="B40" s="76" t="s">
        <v>236</v>
      </c>
      <c r="C40" s="127">
        <v>260035.22</v>
      </c>
      <c r="D40" s="127">
        <v>1389489.98</v>
      </c>
      <c r="E40" s="129">
        <v>260756.82</v>
      </c>
    </row>
    <row r="41" spans="2:8">
      <c r="B41" s="94" t="s">
        <v>213</v>
      </c>
      <c r="C41" s="131"/>
      <c r="D41" s="127"/>
      <c r="E41" s="129"/>
    </row>
    <row r="42" spans="2:8">
      <c r="B42" s="76" t="s">
        <v>237</v>
      </c>
      <c r="C42" s="127"/>
      <c r="D42" s="127"/>
      <c r="E42" s="129"/>
    </row>
    <row r="43" spans="2:8">
      <c r="B43" s="76" t="s">
        <v>238</v>
      </c>
      <c r="C43" s="127"/>
      <c r="D43" s="127"/>
      <c r="E43" s="129"/>
    </row>
    <row r="44" spans="2:8">
      <c r="B44" s="76" t="s">
        <v>239</v>
      </c>
      <c r="C44" s="127"/>
      <c r="D44" s="127"/>
      <c r="E44" s="129"/>
    </row>
    <row r="45" spans="2:8">
      <c r="B45" s="76" t="s">
        <v>240</v>
      </c>
      <c r="C45" s="127"/>
      <c r="D45" s="127"/>
      <c r="E45" s="129"/>
    </row>
    <row r="46" spans="2:8">
      <c r="B46" s="76" t="s">
        <v>241</v>
      </c>
      <c r="C46" s="127"/>
      <c r="D46" s="127"/>
      <c r="E46" s="129"/>
    </row>
    <row r="47" spans="2:8">
      <c r="B47" s="76" t="s">
        <v>242</v>
      </c>
      <c r="C47" s="127">
        <v>4303636.6900000004</v>
      </c>
      <c r="D47" s="127">
        <v>5402243.6699999999</v>
      </c>
      <c r="E47" s="129">
        <v>6260851.3399999999</v>
      </c>
    </row>
    <row r="48" spans="2:8">
      <c r="B48" s="76" t="s">
        <v>243</v>
      </c>
      <c r="C48" s="127"/>
      <c r="D48" s="127"/>
      <c r="E48" s="129"/>
    </row>
    <row r="49" spans="2:6">
      <c r="B49" s="76" t="s">
        <v>244</v>
      </c>
      <c r="C49" s="127"/>
      <c r="D49" s="127"/>
      <c r="E49" s="129"/>
    </row>
    <row r="50" spans="2:6">
      <c r="B50" s="76" t="s">
        <v>245</v>
      </c>
      <c r="C50" s="127"/>
      <c r="D50" s="127"/>
      <c r="E50" s="129"/>
    </row>
    <row r="51" spans="2:6">
      <c r="B51" s="76" t="s">
        <v>246</v>
      </c>
      <c r="C51" s="127">
        <v>4641860.84</v>
      </c>
      <c r="D51" s="127">
        <v>4845451.24</v>
      </c>
      <c r="E51" s="129"/>
    </row>
    <row r="52" spans="2:6">
      <c r="B52" s="76" t="s">
        <v>247</v>
      </c>
      <c r="C52" s="127">
        <v>11065328.289999999</v>
      </c>
      <c r="D52" s="127">
        <v>11064019.6</v>
      </c>
      <c r="E52" s="129">
        <v>2721687.77</v>
      </c>
    </row>
    <row r="53" spans="2:6">
      <c r="B53" s="78" t="s">
        <v>248</v>
      </c>
      <c r="C53" s="132">
        <v>371812.58</v>
      </c>
      <c r="D53" s="132">
        <v>371812.58</v>
      </c>
      <c r="E53" s="129">
        <v>371812.57999997999</v>
      </c>
    </row>
    <row r="54" spans="2:6">
      <c r="B54" s="76" t="s">
        <v>249</v>
      </c>
      <c r="C54" s="127">
        <v>0</v>
      </c>
      <c r="D54" s="127"/>
      <c r="E54" s="129"/>
    </row>
    <row r="55" spans="2:6">
      <c r="B55" s="76" t="s">
        <v>250</v>
      </c>
      <c r="C55" s="127">
        <v>11627143.26</v>
      </c>
      <c r="D55" s="127">
        <v>11627143.26</v>
      </c>
      <c r="E55" s="129">
        <v>15382291.58</v>
      </c>
    </row>
    <row r="56" spans="2:6">
      <c r="B56" s="76" t="s">
        <v>251</v>
      </c>
      <c r="C56" s="127"/>
      <c r="D56" s="127"/>
      <c r="E56" s="129"/>
    </row>
    <row r="57" spans="2:6">
      <c r="B57" s="94" t="s">
        <v>252</v>
      </c>
      <c r="C57" s="133">
        <f>SUM(C30:C56)</f>
        <v>139937143.97</v>
      </c>
      <c r="D57" s="133">
        <f>SUM(D30:D56)</f>
        <v>140766847.40000001</v>
      </c>
      <c r="E57" s="133">
        <f>SUM(E30:E56)</f>
        <v>97537577.289999962</v>
      </c>
    </row>
    <row r="58" spans="2:6">
      <c r="B58" s="94" t="s">
        <v>1</v>
      </c>
      <c r="C58" s="131"/>
      <c r="D58" s="127"/>
      <c r="E58" s="129"/>
    </row>
    <row r="59" spans="2:6">
      <c r="B59" s="76" t="s">
        <v>253</v>
      </c>
      <c r="C59" s="127">
        <v>44990000</v>
      </c>
      <c r="D59" s="127">
        <v>38959613.799999997</v>
      </c>
      <c r="E59" s="129">
        <v>24000000</v>
      </c>
    </row>
    <row r="60" spans="2:6">
      <c r="B60" s="76" t="s">
        <v>254</v>
      </c>
      <c r="C60" s="127"/>
      <c r="D60" s="127"/>
      <c r="E60" s="129"/>
    </row>
    <row r="61" spans="2:6">
      <c r="B61" s="4" t="s">
        <v>255</v>
      </c>
      <c r="C61" s="24"/>
      <c r="D61" s="24"/>
      <c r="E61" s="24"/>
    </row>
    <row r="62" spans="2:6">
      <c r="B62" s="76" t="s">
        <v>290</v>
      </c>
      <c r="C62" s="127"/>
      <c r="D62" s="127"/>
      <c r="E62" s="129"/>
      <c r="F62" s="102"/>
    </row>
    <row r="63" spans="2:6">
      <c r="B63" s="76" t="s">
        <v>291</v>
      </c>
      <c r="C63" s="127">
        <v>16839580.879999999</v>
      </c>
      <c r="D63" s="127">
        <v>18709577.129999999</v>
      </c>
      <c r="E63" s="129">
        <v>16418710.390000001</v>
      </c>
      <c r="F63" s="102"/>
    </row>
    <row r="64" spans="2:6">
      <c r="B64" s="76" t="s">
        <v>256</v>
      </c>
      <c r="C64" s="127">
        <v>3562405.51</v>
      </c>
      <c r="D64" s="127">
        <v>3043836.61</v>
      </c>
      <c r="E64" s="129">
        <v>10369987.91</v>
      </c>
    </row>
    <row r="65" spans="2:8">
      <c r="B65" s="76" t="s">
        <v>257</v>
      </c>
      <c r="C65" s="127">
        <v>3287446.62</v>
      </c>
      <c r="D65" s="127">
        <v>3767295.44</v>
      </c>
      <c r="E65" s="129">
        <v>5374485.71</v>
      </c>
    </row>
    <row r="66" spans="2:8">
      <c r="B66" s="76" t="s">
        <v>258</v>
      </c>
      <c r="C66" s="127">
        <v>5762456</v>
      </c>
      <c r="D66" s="127">
        <v>9206244.4700000007</v>
      </c>
      <c r="E66" s="129">
        <v>6493315.5099999998</v>
      </c>
    </row>
    <row r="67" spans="2:8">
      <c r="B67" s="76" t="s">
        <v>259</v>
      </c>
      <c r="C67" s="127">
        <v>33133287.84</v>
      </c>
      <c r="D67" s="127">
        <v>51839994.909999996</v>
      </c>
      <c r="E67" s="129">
        <v>48826547.32</v>
      </c>
      <c r="F67" s="103"/>
      <c r="G67" s="93"/>
      <c r="H67" s="93"/>
    </row>
    <row r="68" spans="2:8">
      <c r="B68" s="76" t="s">
        <v>260</v>
      </c>
      <c r="C68" s="127"/>
      <c r="D68" s="127"/>
      <c r="E68" s="129"/>
      <c r="F68" s="93"/>
      <c r="G68" s="93"/>
      <c r="H68" s="93"/>
    </row>
    <row r="69" spans="2:8">
      <c r="B69" s="76" t="s">
        <v>261</v>
      </c>
      <c r="C69" s="127"/>
      <c r="D69" s="127"/>
      <c r="E69" s="129"/>
    </row>
    <row r="70" spans="2:8">
      <c r="B70" s="76" t="s">
        <v>262</v>
      </c>
      <c r="C70" s="127">
        <v>5875000</v>
      </c>
      <c r="D70" s="127">
        <v>5875000</v>
      </c>
      <c r="E70" s="129">
        <v>6000000</v>
      </c>
    </row>
    <row r="71" spans="2:8">
      <c r="B71" s="94" t="s">
        <v>115</v>
      </c>
      <c r="C71" s="131"/>
      <c r="D71" s="127"/>
      <c r="E71" s="129"/>
    </row>
    <row r="72" spans="2:8">
      <c r="B72" s="76" t="s">
        <v>263</v>
      </c>
      <c r="C72" s="127">
        <v>1940000</v>
      </c>
      <c r="D72" s="127"/>
      <c r="E72" s="129"/>
    </row>
    <row r="73" spans="2:8">
      <c r="B73" s="76" t="s">
        <v>264</v>
      </c>
      <c r="C73" s="127"/>
      <c r="D73" s="127"/>
      <c r="E73" s="129"/>
    </row>
    <row r="74" spans="2:8" s="95" customFormat="1">
      <c r="B74" s="98" t="s">
        <v>197</v>
      </c>
      <c r="C74" s="128"/>
      <c r="D74" s="128"/>
      <c r="E74" s="138"/>
    </row>
    <row r="75" spans="2:8" s="95" customFormat="1">
      <c r="B75" s="98" t="s">
        <v>199</v>
      </c>
      <c r="C75" s="128"/>
      <c r="D75" s="128"/>
      <c r="E75" s="138"/>
    </row>
    <row r="76" spans="2:8">
      <c r="B76" s="76" t="s">
        <v>265</v>
      </c>
      <c r="C76" s="127"/>
      <c r="D76" s="127"/>
      <c r="E76" s="129"/>
      <c r="F76" s="102"/>
    </row>
    <row r="77" spans="2:8">
      <c r="B77" s="76" t="s">
        <v>266</v>
      </c>
      <c r="C77" s="127"/>
      <c r="D77" s="127"/>
      <c r="E77" s="129"/>
    </row>
    <row r="78" spans="2:8">
      <c r="B78" s="76" t="s">
        <v>267</v>
      </c>
      <c r="C78" s="127">
        <v>260000</v>
      </c>
      <c r="D78" s="127">
        <v>260000</v>
      </c>
      <c r="E78" s="129">
        <v>240000</v>
      </c>
    </row>
    <row r="79" spans="2:8">
      <c r="B79" s="76" t="s">
        <v>268</v>
      </c>
      <c r="C79" s="127"/>
      <c r="D79" s="127"/>
      <c r="E79" s="129"/>
    </row>
    <row r="80" spans="2:8">
      <c r="B80" s="76" t="s">
        <v>269</v>
      </c>
      <c r="C80" s="127"/>
      <c r="D80" s="127"/>
      <c r="E80" s="129"/>
    </row>
    <row r="81" spans="2:6">
      <c r="B81" s="94" t="s">
        <v>270</v>
      </c>
      <c r="C81" s="133">
        <f>SUM(C59:C80)-C74-C75</f>
        <v>115650176.84999999</v>
      </c>
      <c r="D81" s="133">
        <f>SUM(D59:D80)-D74-D75</f>
        <v>131661562.35999998</v>
      </c>
      <c r="E81" s="133">
        <f>SUM(E59:E80)-E74-E75</f>
        <v>117723046.84</v>
      </c>
    </row>
    <row r="82" spans="2:6">
      <c r="B82" s="94" t="s">
        <v>116</v>
      </c>
      <c r="C82" s="131"/>
      <c r="D82" s="127"/>
      <c r="E82" s="129"/>
    </row>
    <row r="83" spans="2:6">
      <c r="B83" s="76" t="s">
        <v>271</v>
      </c>
      <c r="C83" s="127">
        <v>51400000</v>
      </c>
      <c r="D83" s="127">
        <v>50000000</v>
      </c>
      <c r="E83" s="129">
        <v>50000000</v>
      </c>
    </row>
    <row r="84" spans="2:6">
      <c r="B84" s="76" t="s">
        <v>272</v>
      </c>
      <c r="C84" s="127">
        <v>0</v>
      </c>
      <c r="D84" s="127"/>
      <c r="E84" s="129"/>
    </row>
    <row r="85" spans="2:6" s="95" customFormat="1">
      <c r="B85" s="98" t="s">
        <v>196</v>
      </c>
      <c r="C85" s="128"/>
      <c r="D85" s="128"/>
      <c r="E85" s="138"/>
    </row>
    <row r="86" spans="2:6" s="95" customFormat="1">
      <c r="B86" s="98" t="s">
        <v>198</v>
      </c>
      <c r="C86" s="128"/>
      <c r="D86" s="128"/>
      <c r="E86" s="138"/>
    </row>
    <row r="87" spans="2:6">
      <c r="B87" s="77" t="s">
        <v>273</v>
      </c>
      <c r="C87" s="125">
        <v>71647706.170000002</v>
      </c>
      <c r="D87" s="125">
        <v>-6349632.4900000002</v>
      </c>
      <c r="E87" s="129">
        <v>-6349632.4900000002</v>
      </c>
      <c r="F87" s="43"/>
    </row>
    <row r="88" spans="2:6">
      <c r="B88" s="77" t="s">
        <v>274</v>
      </c>
      <c r="C88" s="125"/>
      <c r="D88" s="125"/>
      <c r="E88" s="129"/>
    </row>
    <row r="89" spans="2:6">
      <c r="B89" s="4" t="s">
        <v>275</v>
      </c>
      <c r="C89" s="24"/>
      <c r="D89" s="24"/>
      <c r="E89" s="24"/>
    </row>
    <row r="90" spans="2:6">
      <c r="B90" s="77" t="s">
        <v>276</v>
      </c>
      <c r="C90" s="125"/>
      <c r="D90" s="125"/>
      <c r="E90" s="129"/>
    </row>
    <row r="91" spans="2:6">
      <c r="B91" s="76" t="s">
        <v>277</v>
      </c>
      <c r="C91" s="127">
        <v>-98832278.370000005</v>
      </c>
      <c r="D91" s="127">
        <v>-34911425.899999999</v>
      </c>
      <c r="E91" s="129">
        <v>-64207413.960000001</v>
      </c>
    </row>
    <row r="92" spans="2:6">
      <c r="B92" s="76" t="s">
        <v>278</v>
      </c>
      <c r="C92" s="127"/>
      <c r="D92" s="127"/>
      <c r="E92" s="129"/>
    </row>
    <row r="93" spans="2:6">
      <c r="B93" s="76" t="s">
        <v>279</v>
      </c>
      <c r="C93" s="127">
        <v>71539.320000000007</v>
      </c>
      <c r="D93" s="127">
        <v>366343.43</v>
      </c>
      <c r="E93" s="129">
        <v>371576.9</v>
      </c>
      <c r="F93" s="43"/>
    </row>
    <row r="94" spans="2:6">
      <c r="B94" s="94" t="s">
        <v>280</v>
      </c>
      <c r="C94" s="133">
        <f>SUM(C83:C93)-C85-C86-C88</f>
        <v>24286967.119999997</v>
      </c>
      <c r="D94" s="133">
        <f>SUM(D83:D93)-D85-D86-D88</f>
        <v>9105285.0399999991</v>
      </c>
      <c r="E94" s="133">
        <f>SUM(E83:E93)-E85-E86-E88</f>
        <v>-20185469.550000004</v>
      </c>
    </row>
    <row r="95" spans="2:6">
      <c r="B95" s="94" t="s">
        <v>2</v>
      </c>
      <c r="C95" s="133">
        <f>C94+C81</f>
        <v>139937143.97</v>
      </c>
      <c r="D95" s="133">
        <f>D94+D81</f>
        <v>140766847.39999998</v>
      </c>
      <c r="E95" s="133">
        <f>E94+E81</f>
        <v>97537577.289999992</v>
      </c>
    </row>
    <row r="96" spans="2:6">
      <c r="C96" s="34">
        <f>ROUND(C57-C95,2)</f>
        <v>0</v>
      </c>
      <c r="D96" s="34">
        <f>ROUND(D57-D95,2)</f>
        <v>0</v>
      </c>
      <c r="E96" s="34">
        <f>ROUND(E57-E95,2)</f>
        <v>0</v>
      </c>
    </row>
    <row r="98" spans="2:6">
      <c r="B98" s="58" t="s">
        <v>153</v>
      </c>
      <c r="C98" s="67" t="str">
        <f>C28</f>
        <v>2020年6月30日</v>
      </c>
      <c r="D98" s="67" t="str">
        <f>D28</f>
        <v>2019年12月31日</v>
      </c>
      <c r="E98" s="139"/>
    </row>
    <row r="99" spans="2:6">
      <c r="B99" s="76" t="s">
        <v>285</v>
      </c>
      <c r="C99" s="134">
        <v>-34911425.900000006</v>
      </c>
      <c r="D99" s="134">
        <f t="shared" ref="D99" si="2">E91</f>
        <v>-64207413.960000001</v>
      </c>
      <c r="E99" s="140"/>
    </row>
    <row r="100" spans="2:6">
      <c r="B100" s="76" t="s">
        <v>109</v>
      </c>
      <c r="C100" s="134">
        <f t="shared" ref="C100" si="3">C23</f>
        <v>1184336.5100000063</v>
      </c>
      <c r="D100" s="134">
        <f t="shared" ref="D100:D101" si="4">D23</f>
        <v>29290754.589999989</v>
      </c>
      <c r="E100" s="140"/>
    </row>
    <row r="101" spans="2:6">
      <c r="B101" s="76" t="s">
        <v>114</v>
      </c>
      <c r="C101" s="134">
        <f t="shared" ref="C101" si="5">C24</f>
        <v>-292149.68</v>
      </c>
      <c r="D101" s="134">
        <f t="shared" si="4"/>
        <v>-5233.47</v>
      </c>
      <c r="E101" s="140"/>
    </row>
    <row r="102" spans="2:6">
      <c r="B102" s="76" t="s">
        <v>110</v>
      </c>
      <c r="C102" s="134"/>
      <c r="D102" s="134"/>
      <c r="E102" s="140"/>
    </row>
    <row r="103" spans="2:6">
      <c r="B103" s="76" t="s">
        <v>287</v>
      </c>
      <c r="C103" s="134">
        <f>C90-D90</f>
        <v>0</v>
      </c>
      <c r="D103" s="134">
        <f>D90-E90</f>
        <v>0</v>
      </c>
      <c r="E103" s="140"/>
    </row>
    <row r="104" spans="2:6">
      <c r="B104" s="76" t="s">
        <v>286</v>
      </c>
      <c r="C104" s="134">
        <f>C99+C100-C101-C102-C103</f>
        <v>-33434939.710000001</v>
      </c>
      <c r="D104" s="134">
        <f>D99+D100-D101-D102-D103</f>
        <v>-34911425.900000013</v>
      </c>
      <c r="F104" s="140"/>
    </row>
    <row r="105" spans="2:6">
      <c r="B105" s="76" t="s">
        <v>111</v>
      </c>
      <c r="C105" s="134">
        <f>C104-C91</f>
        <v>65397338.660000004</v>
      </c>
      <c r="D105" s="134">
        <f>D104-D91</f>
        <v>0</v>
      </c>
      <c r="E105" s="140"/>
    </row>
    <row r="106" spans="2:6">
      <c r="C106" s="8" t="s">
        <v>970</v>
      </c>
    </row>
    <row r="108" spans="2:6">
      <c r="B108" s="89" t="s">
        <v>3</v>
      </c>
      <c r="C108" s="89" t="str">
        <f>C2</f>
        <v>2020年1-6月</v>
      </c>
      <c r="D108" s="89" t="str">
        <f>D2</f>
        <v>2019年</v>
      </c>
      <c r="E108" s="89" t="str">
        <f t="shared" ref="E108" si="6">E2</f>
        <v>2018年</v>
      </c>
    </row>
    <row r="109" spans="2:6">
      <c r="B109" s="23" t="s">
        <v>4</v>
      </c>
      <c r="C109" s="23">
        <v>-22001182.180000007</v>
      </c>
      <c r="D109" s="23">
        <v>-7056147.2399999499</v>
      </c>
      <c r="E109" s="23">
        <v>-40291055.310000166</v>
      </c>
    </row>
    <row r="110" spans="2:6">
      <c r="B110" s="23" t="s">
        <v>5</v>
      </c>
      <c r="C110" s="23">
        <v>-12099</v>
      </c>
      <c r="D110" s="23">
        <v>-2870288.35</v>
      </c>
      <c r="E110" s="23">
        <v>-8141669.7300000004</v>
      </c>
    </row>
    <row r="111" spans="2:6">
      <c r="B111" s="23" t="s">
        <v>6</v>
      </c>
      <c r="C111" s="23">
        <v>21181689.300000001</v>
      </c>
      <c r="D111" s="23">
        <v>11437177.57</v>
      </c>
      <c r="E111" s="23">
        <v>32226254.399999999</v>
      </c>
    </row>
  </sheetData>
  <phoneticPr fontId="6" type="noConversion"/>
  <pageMargins left="0.75" right="0.75" top="1" bottom="1" header="0.5" footer="0.5"/>
  <pageSetup paperSize="9" orientation="portrait" r:id="rId1"/>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sheetPr>
  <dimension ref="B2:I139"/>
  <sheetViews>
    <sheetView topLeftCell="A100" zoomScale="90" zoomScaleNormal="90" workbookViewId="0">
      <selection activeCell="F104" sqref="F104"/>
    </sheetView>
  </sheetViews>
  <sheetFormatPr defaultColWidth="15.5" defaultRowHeight="14.4"/>
  <cols>
    <col min="1" max="1" width="3.09765625" style="8" customWidth="1"/>
    <col min="2" max="2" width="24.8984375" style="8" bestFit="1" customWidth="1"/>
    <col min="3" max="3" width="14.5" style="8" customWidth="1"/>
    <col min="4" max="4" width="14.09765625" style="8" customWidth="1"/>
    <col min="5" max="5" width="13.3984375" style="8" customWidth="1"/>
    <col min="6" max="16384" width="15.5" style="8"/>
  </cols>
  <sheetData>
    <row r="2" spans="2:5">
      <c r="B2" s="53" t="s">
        <v>3</v>
      </c>
      <c r="C2" s="53" t="str">
        <f>合并口径财务报表!$C$2</f>
        <v>2020年1-6月</v>
      </c>
      <c r="D2" s="53" t="str">
        <f>合并口径财务报表!$D$2</f>
        <v>2019年</v>
      </c>
      <c r="E2" s="53" t="str">
        <f>合并口径财务报表!$E$2</f>
        <v>2018年</v>
      </c>
    </row>
    <row r="3" spans="2:5">
      <c r="B3" s="1" t="str">
        <f>合并口径财务报表!B3</f>
        <v>营业收入</v>
      </c>
      <c r="C3" s="2">
        <f>合并口径财务报表!C3/10000</f>
        <v>5228.5609850000001</v>
      </c>
      <c r="D3" s="2">
        <f>合并口径财务报表!D3/10000</f>
        <v>16878.296898000001</v>
      </c>
      <c r="E3" s="2">
        <f>合并口径财务报表!E3/10000</f>
        <v>10285.860337</v>
      </c>
    </row>
    <row r="4" spans="2:5">
      <c r="B4" s="1" t="str">
        <f>合并口径财务报表!B4</f>
        <v>减：营业成本</v>
      </c>
      <c r="C4" s="2">
        <f>合并口径财务报表!C4/10000</f>
        <v>1870.4844010000002</v>
      </c>
      <c r="D4" s="2">
        <f>合并口径财务报表!D4/10000</f>
        <v>6225.9074570000002</v>
      </c>
      <c r="E4" s="2">
        <f>合并口径财务报表!E4/10000</f>
        <v>4897.386861</v>
      </c>
    </row>
    <row r="5" spans="2:5">
      <c r="B5" s="1" t="str">
        <f>合并口径财务报表!B5</f>
        <v xml:space="preserve">    税金及附加</v>
      </c>
      <c r="C5" s="2">
        <f>合并口径财务报表!C5/10000</f>
        <v>32.076571999999999</v>
      </c>
      <c r="D5" s="2">
        <f>合并口径财务报表!D5/10000</f>
        <v>173.36390900000001</v>
      </c>
      <c r="E5" s="2">
        <f>合并口径财务报表!E5/10000</f>
        <v>100.047549</v>
      </c>
    </row>
    <row r="6" spans="2:5">
      <c r="B6" s="1" t="str">
        <f>合并口径财务报表!B6</f>
        <v xml:space="preserve">    销售费用</v>
      </c>
      <c r="C6" s="2">
        <f>合并口径财务报表!C6/10000</f>
        <v>1068.6227689999998</v>
      </c>
      <c r="D6" s="2">
        <f>合并口径财务报表!D6/10000</f>
        <v>2705.8954530000001</v>
      </c>
      <c r="E6" s="2">
        <f>合并口径财务报表!E6/10000</f>
        <v>2654.6431870000001</v>
      </c>
    </row>
    <row r="7" spans="2:5">
      <c r="B7" s="1" t="str">
        <f>合并口径财务报表!B7</f>
        <v xml:space="preserve">    管理费用</v>
      </c>
      <c r="C7" s="2">
        <f>合并口径财务报表!C7/10000</f>
        <v>1075.8744900000002</v>
      </c>
      <c r="D7" s="2">
        <f>合并口径财务报表!D7/10000</f>
        <v>2546.6452180000001</v>
      </c>
      <c r="E7" s="2">
        <f>合并口径财务报表!E7/10000</f>
        <v>3914.3769990000001</v>
      </c>
    </row>
    <row r="8" spans="2:5">
      <c r="B8" s="1" t="str">
        <f>合并口径财务报表!B8</f>
        <v xml:space="preserve">    研发费用</v>
      </c>
      <c r="C8" s="2">
        <f>合并口径财务报表!C8/10000</f>
        <v>1307.3868560000001</v>
      </c>
      <c r="D8" s="2">
        <f>合并口径财务报表!D8/10000</f>
        <v>1925.367557</v>
      </c>
      <c r="E8" s="2">
        <f>合并口径财务报表!E8/10000</f>
        <v>3847.6828850000002</v>
      </c>
    </row>
    <row r="9" spans="2:5">
      <c r="B9" s="1" t="str">
        <f>合并口径财务报表!B9</f>
        <v xml:space="preserve">    财务费用</v>
      </c>
      <c r="C9" s="2">
        <f>合并口径财务报表!C9/10000</f>
        <v>101.81854399999999</v>
      </c>
      <c r="D9" s="2">
        <f>合并口径财务报表!D9/10000</f>
        <v>402.54827599999999</v>
      </c>
      <c r="E9" s="2">
        <f>合并口径财务报表!E9/10000</f>
        <v>153.50451699999999</v>
      </c>
    </row>
    <row r="10" spans="2:5">
      <c r="B10" s="1" t="str">
        <f>合并口径财务报表!B10</f>
        <v xml:space="preserve">    其中：利息费用</v>
      </c>
      <c r="C10" s="2">
        <f>合并口径财务报表!C10/10000</f>
        <v>0</v>
      </c>
      <c r="D10" s="2">
        <f>合并口径财务报表!D10/10000</f>
        <v>0</v>
      </c>
      <c r="E10" s="2">
        <f>合并口径财务报表!E10/10000</f>
        <v>0</v>
      </c>
    </row>
    <row r="11" spans="2:5">
      <c r="B11" s="1" t="str">
        <f>合并口径财务报表!B11</f>
        <v xml:space="preserve">          利息收入</v>
      </c>
      <c r="C11" s="2">
        <f>合并口径财务报表!C11/10000</f>
        <v>0</v>
      </c>
      <c r="D11" s="2">
        <f>合并口径财务报表!D11/10000</f>
        <v>0</v>
      </c>
      <c r="E11" s="2">
        <f>合并口径财务报表!E11/10000</f>
        <v>0</v>
      </c>
    </row>
    <row r="12" spans="2:5">
      <c r="B12" s="1" t="str">
        <f>合并口径财务报表!B12</f>
        <v xml:space="preserve">    资产减值损失</v>
      </c>
      <c r="C12" s="2">
        <f>合并口径财务报表!C12/10000</f>
        <v>-5.1121940000000006</v>
      </c>
      <c r="D12" s="2">
        <f>合并口径财务报表!D12/10000</f>
        <v>-26.003733999999998</v>
      </c>
      <c r="E12" s="2">
        <f>合并口径财务报表!E12/10000</f>
        <v>102.857134</v>
      </c>
    </row>
    <row r="13" spans="2:5">
      <c r="B13" s="1" t="str">
        <f>合并口径财务报表!B13</f>
        <v>加：其他收益</v>
      </c>
      <c r="C13" s="2">
        <f>合并口径财务报表!C13/10000</f>
        <v>322.21771899999999</v>
      </c>
      <c r="D13" s="2">
        <f>合并口径财务报表!D13/10000</f>
        <v>441.21483099999995</v>
      </c>
      <c r="E13" s="2">
        <f>合并口径财务报表!E13/10000</f>
        <v>433.25603600000005</v>
      </c>
    </row>
    <row r="14" spans="2:5">
      <c r="B14" s="1" t="str">
        <f>合并口径财务报表!B14</f>
        <v xml:space="preserve">    投资收益（损失以“-”号填列）</v>
      </c>
      <c r="C14" s="2">
        <f>合并口径财务报表!C14/10000</f>
        <v>-16.264031000000006</v>
      </c>
      <c r="D14" s="2">
        <f>合并口径财务报表!D14/10000</f>
        <v>0</v>
      </c>
      <c r="E14" s="2">
        <f>合并口径财务报表!E14/10000</f>
        <v>0</v>
      </c>
    </row>
    <row r="15" spans="2:5">
      <c r="B15" s="1" t="str">
        <f>合并口径财务报表!B15</f>
        <v xml:space="preserve">    其中：对联营企业和合营企业的投资收益</v>
      </c>
      <c r="C15" s="2">
        <f>合并口径财务报表!C15/10000</f>
        <v>0</v>
      </c>
      <c r="D15" s="2">
        <f>合并口径财务报表!D15/10000</f>
        <v>0</v>
      </c>
      <c r="E15" s="2">
        <f>合并口径财务报表!E15/10000</f>
        <v>0</v>
      </c>
    </row>
    <row r="16" spans="2:5">
      <c r="B16" s="1" t="str">
        <f>合并口径财务报表!B16</f>
        <v xml:space="preserve">    公允价值变动收益（损失以“-”号填列）</v>
      </c>
      <c r="C16" s="2">
        <f>合并口径财务报表!C16/10000</f>
        <v>0</v>
      </c>
      <c r="D16" s="2">
        <f>合并口径财务报表!D16/10000</f>
        <v>0</v>
      </c>
      <c r="E16" s="2">
        <f>合并口径财务报表!E16/10000</f>
        <v>0</v>
      </c>
    </row>
    <row r="17" spans="2:5">
      <c r="B17" s="1" t="str">
        <f>合并口径财务报表!B17</f>
        <v xml:space="preserve">    资产处置收益（损失以“-”号填列）</v>
      </c>
      <c r="C17" s="2">
        <f>合并口径财务报表!C17/10000</f>
        <v>0</v>
      </c>
      <c r="D17" s="2">
        <f>合并口径财务报表!D17/10000</f>
        <v>1.0976079999999999</v>
      </c>
      <c r="E17" s="2">
        <f>合并口径财务报表!E17/10000</f>
        <v>0.21829400000000002</v>
      </c>
    </row>
    <row r="18" spans="2:5">
      <c r="B18" s="1" t="str">
        <f>合并口径财务报表!B18</f>
        <v>营业利润</v>
      </c>
      <c r="C18" s="2">
        <f>C3-C4-C5-C6-C7-C8-C9-C12+C13+C14+C15+C16+C17</f>
        <v>83.363234999999676</v>
      </c>
      <c r="D18" s="2">
        <f>D3-D4-D5-D6-D7-D8-D9-D12+D13+D14+D15+D16+D17</f>
        <v>3366.8852009999987</v>
      </c>
      <c r="E18" s="2">
        <f t="shared" ref="E18" si="0">E3-E4-E5-E6-E7-E8-E9-E12+E13+E14+E15+E16+E17</f>
        <v>-4951.1644649999998</v>
      </c>
    </row>
    <row r="19" spans="2:5">
      <c r="B19" s="1" t="str">
        <f>合并口径财务报表!B19</f>
        <v>加：营业外收入</v>
      </c>
      <c r="C19" s="2">
        <f>合并口径财务报表!C19/10000</f>
        <v>26.370732</v>
      </c>
      <c r="D19" s="2">
        <f>合并口径财务报表!D19/10000</f>
        <v>25.789372</v>
      </c>
      <c r="E19" s="2">
        <f>合并口径财务报表!E19/10000</f>
        <v>11.944222999999999</v>
      </c>
    </row>
    <row r="20" spans="2:5">
      <c r="B20" s="1" t="str">
        <f>合并口径财务报表!B20</f>
        <v>减：营业外支出</v>
      </c>
      <c r="C20" s="2">
        <f>合并口径财务报表!C20/10000</f>
        <v>0.56759700000000002</v>
      </c>
      <c r="D20" s="2">
        <f>合并口径财务报表!D20/10000</f>
        <v>0.89419199999999999</v>
      </c>
      <c r="E20" s="2">
        <f>合并口径财务报表!E20/10000</f>
        <v>44.377386000000001</v>
      </c>
    </row>
    <row r="21" spans="2:5">
      <c r="B21" s="1" t="str">
        <f>合并口径财务报表!B21</f>
        <v>利润总额</v>
      </c>
      <c r="C21" s="2">
        <f>C18-C20+C19</f>
        <v>109.16636999999967</v>
      </c>
      <c r="D21" s="2">
        <f>D18-D20+D19</f>
        <v>3391.7803809999987</v>
      </c>
      <c r="E21" s="2">
        <f t="shared" ref="E21" si="1">E18-E20+E19</f>
        <v>-4983.5976279999995</v>
      </c>
    </row>
    <row r="22" spans="2:5">
      <c r="B22" s="1" t="str">
        <f>合并口径财务报表!B22</f>
        <v>减：所得税费用</v>
      </c>
      <c r="C22" s="2">
        <f>合并口径财务报表!C22/10000</f>
        <v>-9.2672810000000005</v>
      </c>
      <c r="D22" s="2">
        <f>合并口径财务报表!D22/10000</f>
        <v>462.70492199999995</v>
      </c>
      <c r="E22" s="2">
        <f>合并口径财务报表!E22/10000</f>
        <v>-768.92647699999998</v>
      </c>
    </row>
    <row r="23" spans="2:5">
      <c r="B23" s="1" t="str">
        <f>合并口径财务报表!B23</f>
        <v>净利润</v>
      </c>
      <c r="C23" s="2">
        <f>C21-C22</f>
        <v>118.43365099999967</v>
      </c>
      <c r="D23" s="2">
        <f>D21-D22</f>
        <v>2929.0754589999988</v>
      </c>
      <c r="E23" s="2">
        <f t="shared" ref="E23" si="2">E21-E22</f>
        <v>-4214.6711509999996</v>
      </c>
    </row>
    <row r="24" spans="2:5">
      <c r="B24" s="1" t="str">
        <f>合并口径财务报表!B24</f>
        <v>归属少数股东的净利润</v>
      </c>
      <c r="C24" s="2">
        <f>合并口径财务报表!C24/10000</f>
        <v>-29.214967999999999</v>
      </c>
      <c r="D24" s="2">
        <f>合并口径财务报表!D24/10000</f>
        <v>-0.52334700000000001</v>
      </c>
      <c r="E24" s="2">
        <f>合并口径财务报表!E24/10000</f>
        <v>-87.569155000000009</v>
      </c>
    </row>
    <row r="25" spans="2:5">
      <c r="B25" s="1" t="str">
        <f>合并口径财务报表!B25</f>
        <v>归属于母公司的净利润</v>
      </c>
      <c r="C25" s="2">
        <f>C23-C24</f>
        <v>147.64861899999966</v>
      </c>
      <c r="D25" s="2">
        <f>D23-D24</f>
        <v>2929.5988059999986</v>
      </c>
      <c r="E25" s="2">
        <f t="shared" ref="E25" si="3">E23-E24</f>
        <v>-4127.1019959999994</v>
      </c>
    </row>
    <row r="26" spans="2:5">
      <c r="C26" s="42">
        <f>C5/C3</f>
        <v>6.1348757510954035E-3</v>
      </c>
      <c r="D26" s="42">
        <f>D5/D3</f>
        <v>1.0271410086437265E-2</v>
      </c>
      <c r="E26" s="42">
        <f>E5/E3</f>
        <v>9.7267069279671093E-3</v>
      </c>
    </row>
    <row r="27" spans="2:5">
      <c r="B27" s="43"/>
      <c r="C27" s="42">
        <f>C22/C21</f>
        <v>-8.4891354361238069E-2</v>
      </c>
      <c r="D27" s="42">
        <f>D22/D21</f>
        <v>0.13641948181314165</v>
      </c>
      <c r="E27" s="42">
        <f>E22/E21</f>
        <v>0.15429144453393259</v>
      </c>
    </row>
    <row r="28" spans="2:5">
      <c r="B28" s="43"/>
      <c r="C28" s="43"/>
      <c r="D28" s="43"/>
      <c r="E28" s="43"/>
    </row>
    <row r="29" spans="2:5">
      <c r="B29" s="53" t="s">
        <v>7</v>
      </c>
      <c r="C29" s="53" t="str">
        <f>合并口径财务报表!$C$2</f>
        <v>2020年1-6月</v>
      </c>
      <c r="D29" s="53" t="str">
        <f>合并口径财务报表!$D$2</f>
        <v>2019年</v>
      </c>
      <c r="E29" s="53" t="str">
        <f>合并口径财务报表!$E$2</f>
        <v>2018年</v>
      </c>
    </row>
    <row r="30" spans="2:5">
      <c r="B30" s="44" t="s">
        <v>8</v>
      </c>
      <c r="C30" s="3">
        <f>1-C4/C3</f>
        <v>0.6422563672172602</v>
      </c>
      <c r="D30" s="3">
        <f>1-D4/D3</f>
        <v>0.63112940276943807</v>
      </c>
      <c r="E30" s="3">
        <f>1-E4/E3</f>
        <v>0.52387192703917429</v>
      </c>
    </row>
    <row r="31" spans="2:5">
      <c r="B31" s="44" t="s">
        <v>9</v>
      </c>
      <c r="C31" s="3">
        <f>C18/C3</f>
        <v>1.5943819961009725E-2</v>
      </c>
      <c r="D31" s="3">
        <f>D18/D3</f>
        <v>0.19948015023950424</v>
      </c>
      <c r="E31" s="3">
        <f>E18/E3</f>
        <v>-0.48135637688855387</v>
      </c>
    </row>
    <row r="32" spans="2:5">
      <c r="B32" s="44" t="s">
        <v>10</v>
      </c>
      <c r="C32" s="3">
        <f>C23/C3</f>
        <v>2.2651289970561501E-2</v>
      </c>
      <c r="D32" s="3">
        <f>D23/D3</f>
        <v>0.17354093702114462</v>
      </c>
      <c r="E32" s="3">
        <f>E23/E3</f>
        <v>-0.40975387696439025</v>
      </c>
    </row>
    <row r="33" spans="2:5">
      <c r="B33" s="1" t="s">
        <v>11</v>
      </c>
      <c r="C33" s="3">
        <f>C23/C115</f>
        <v>4.8764281853237702E-2</v>
      </c>
      <c r="D33" s="3">
        <f>D23/D115</f>
        <v>3.2168959523314382</v>
      </c>
      <c r="E33" s="3">
        <f>E23/E115</f>
        <v>2.0879728066568548</v>
      </c>
    </row>
    <row r="35" spans="2:5">
      <c r="B35" s="53" t="s">
        <v>7</v>
      </c>
      <c r="C35" s="53" t="str">
        <f>合并口径财务报表!$C$2</f>
        <v>2020年1-6月</v>
      </c>
      <c r="D35" s="53" t="str">
        <f>合并口径财务报表!$D$2</f>
        <v>2019年</v>
      </c>
      <c r="E35" s="53" t="str">
        <f>合并口径财务报表!$E$2</f>
        <v>2018年</v>
      </c>
    </row>
    <row r="36" spans="2:5">
      <c r="B36" s="45" t="s">
        <v>216</v>
      </c>
      <c r="C36" s="46">
        <f>C6/6</f>
        <v>178.1037948333333</v>
      </c>
      <c r="D36" s="46">
        <f>D6/12</f>
        <v>225.49128775</v>
      </c>
      <c r="E36" s="46">
        <f>E6/12</f>
        <v>221.22026558333334</v>
      </c>
    </row>
    <row r="37" spans="2:5">
      <c r="B37" s="45" t="s">
        <v>217</v>
      </c>
      <c r="C37" s="47">
        <f>C6/C3</f>
        <v>0.20438181214022882</v>
      </c>
      <c r="D37" s="47">
        <f>D6/D3</f>
        <v>0.16031803856469878</v>
      </c>
      <c r="E37" s="47">
        <f>E6/E3</f>
        <v>0.2580866451638269</v>
      </c>
    </row>
    <row r="39" spans="2:5">
      <c r="B39" s="53" t="s">
        <v>7</v>
      </c>
      <c r="C39" s="53" t="str">
        <f>合并口径财务报表!$C$2</f>
        <v>2020年1-6月</v>
      </c>
      <c r="D39" s="53" t="str">
        <f>合并口径财务报表!$D$2</f>
        <v>2019年</v>
      </c>
      <c r="E39" s="53" t="str">
        <f>合并口径财务报表!$E$2</f>
        <v>2018年</v>
      </c>
    </row>
    <row r="40" spans="2:5">
      <c r="B40" s="45" t="s">
        <v>12</v>
      </c>
      <c r="C40" s="48">
        <f>C7/6</f>
        <v>179.31241500000002</v>
      </c>
      <c r="D40" s="48">
        <f>D7/12</f>
        <v>212.22043483333334</v>
      </c>
      <c r="E40" s="48">
        <f>E7/12</f>
        <v>326.19808325000002</v>
      </c>
    </row>
    <row r="41" spans="2:5">
      <c r="B41" s="45" t="s">
        <v>13</v>
      </c>
      <c r="C41" s="49">
        <f>C7/C3</f>
        <v>0.20576875608538017</v>
      </c>
      <c r="D41" s="49">
        <f>D7/D3</f>
        <v>0.15088283097459707</v>
      </c>
      <c r="E41" s="49">
        <f>E7/E3</f>
        <v>0.38055902673686087</v>
      </c>
    </row>
    <row r="43" spans="2:5">
      <c r="B43" s="53" t="s">
        <v>7</v>
      </c>
      <c r="C43" s="53" t="str">
        <f>合并口径财务报表!$C$2</f>
        <v>2020年1-6月</v>
      </c>
      <c r="D43" s="53" t="str">
        <f>合并口径财务报表!$D$2</f>
        <v>2019年</v>
      </c>
      <c r="E43" s="53" t="str">
        <f>合并口径财务报表!$E$2</f>
        <v>2018年</v>
      </c>
    </row>
    <row r="44" spans="2:5">
      <c r="B44" s="45" t="s">
        <v>218</v>
      </c>
      <c r="C44" s="48">
        <f t="shared" ref="C44" si="4">C8/6</f>
        <v>217.89780933333336</v>
      </c>
      <c r="D44" s="48">
        <f t="shared" ref="D44:E44" si="5">D8/6</f>
        <v>320.89459283333332</v>
      </c>
      <c r="E44" s="48">
        <f t="shared" si="5"/>
        <v>641.2804808333334</v>
      </c>
    </row>
    <row r="45" spans="2:5">
      <c r="B45" s="45" t="s">
        <v>219</v>
      </c>
      <c r="C45" s="49">
        <f>C8/C3</f>
        <v>0.25004716589338971</v>
      </c>
      <c r="D45" s="49">
        <f>D8/D3</f>
        <v>0.11407356847882841</v>
      </c>
      <c r="E45" s="49">
        <f t="shared" ref="E45" si="6">E8/E3</f>
        <v>0.37407496883456859</v>
      </c>
    </row>
    <row r="47" spans="2:5">
      <c r="B47" s="53" t="s">
        <v>3</v>
      </c>
      <c r="C47" s="53" t="str">
        <f>合并口径财务报表!$C$2</f>
        <v>2020年1-6月</v>
      </c>
      <c r="D47" s="53" t="str">
        <f>合并口径财务报表!$D$2</f>
        <v>2019年</v>
      </c>
      <c r="E47" s="53" t="str">
        <f>合并口径财务报表!$E$2</f>
        <v>2018年</v>
      </c>
    </row>
    <row r="48" spans="2:5">
      <c r="B48" s="1" t="s">
        <v>215</v>
      </c>
      <c r="C48" s="49">
        <f>(C6+C7+C8+C9)/C3</f>
        <v>0.67967126503737241</v>
      </c>
      <c r="D48" s="49">
        <f>(D6+D7+D8+D9)/D3</f>
        <v>0.44912449104377639</v>
      </c>
      <c r="E48" s="49">
        <f t="shared" ref="E48" si="7">(E6+E7+E8+E9)/E3</f>
        <v>1.0276444790891388</v>
      </c>
    </row>
    <row r="50" spans="2:9">
      <c r="B50" s="54" t="s">
        <v>3</v>
      </c>
      <c r="C50" s="55" t="str">
        <f>合并口径财务报表!$C$28</f>
        <v>2020年6月30日</v>
      </c>
      <c r="D50" s="55" t="str">
        <f>合并口径财务报表!$D$28</f>
        <v>2019年12月31日</v>
      </c>
      <c r="E50" s="55" t="str">
        <f>合并口径财务报表!$E$28</f>
        <v>2018年12月31日</v>
      </c>
    </row>
    <row r="51" spans="2:9">
      <c r="B51" s="5" t="str">
        <f>合并口径财务报表!B30</f>
        <v>货币资金</v>
      </c>
      <c r="C51" s="6">
        <f>合并口径财务报表!C30/10000</f>
        <v>623.51007900000002</v>
      </c>
      <c r="D51" s="6">
        <f>合并口径财务报表!D30/10000</f>
        <v>706.66926699999999</v>
      </c>
      <c r="E51" s="6">
        <f>合并口径财务报表!E30/10000</f>
        <v>555.59506900000008</v>
      </c>
    </row>
    <row r="52" spans="2:9">
      <c r="B52" s="5" t="str">
        <f>合并口径财务报表!B31</f>
        <v>以公允价值计量且其变动计入当期损益的金融资产</v>
      </c>
      <c r="C52" s="6">
        <f>合并口径财务报表!C31/10000</f>
        <v>10</v>
      </c>
      <c r="D52" s="6">
        <f>合并口径财务报表!D31/10000</f>
        <v>0</v>
      </c>
      <c r="E52" s="6">
        <f>合并口径财务报表!E31/10000</f>
        <v>0</v>
      </c>
    </row>
    <row r="53" spans="2:9">
      <c r="B53" s="5" t="str">
        <f>合并口径财务报表!B32</f>
        <v>衍生金融资产</v>
      </c>
      <c r="C53" s="6">
        <f>合并口径财务报表!C32/10000</f>
        <v>0</v>
      </c>
      <c r="D53" s="6">
        <f>合并口径财务报表!D32/10000</f>
        <v>0</v>
      </c>
      <c r="E53" s="6">
        <f>合并口径财务报表!E32/10000</f>
        <v>0</v>
      </c>
    </row>
    <row r="54" spans="2:9">
      <c r="B54" s="1" t="str">
        <f>合并口径财务报表!B33</f>
        <v>应收票据</v>
      </c>
      <c r="C54" s="6">
        <f>合并口径财务报表!C33/10000</f>
        <v>275.36086399999999</v>
      </c>
      <c r="D54" s="6">
        <f>合并口径财务报表!D33/10000</f>
        <v>367.89466299999998</v>
      </c>
      <c r="E54" s="6">
        <f>合并口径财务报表!E33/10000</f>
        <v>427.87368300000003</v>
      </c>
      <c r="F54" s="93"/>
      <c r="G54" s="34"/>
      <c r="H54" s="34"/>
      <c r="I54" s="34"/>
    </row>
    <row r="55" spans="2:9">
      <c r="B55" s="1" t="str">
        <f>合并口径财务报表!B34</f>
        <v>应收账款</v>
      </c>
      <c r="C55" s="6">
        <f>合并口径财务报表!C34/10000</f>
        <v>6260.6575069999999</v>
      </c>
      <c r="D55" s="6">
        <f>合并口径财务报表!D34/10000</f>
        <v>6578.4661109999997</v>
      </c>
      <c r="E55" s="6">
        <f>合并口径财务报表!E34/10000</f>
        <v>2880.0007489999998</v>
      </c>
      <c r="F55" s="93"/>
      <c r="G55" s="34"/>
      <c r="H55" s="34"/>
      <c r="I55" s="34"/>
    </row>
    <row r="56" spans="2:9">
      <c r="B56" s="1" t="str">
        <f>合并口径财务报表!B35</f>
        <v>预付账款</v>
      </c>
      <c r="C56" s="6">
        <f>合并口径财务报表!C35/10000</f>
        <v>428.52085800000003</v>
      </c>
      <c r="D56" s="6">
        <f>合并口径财务报表!D35/10000</f>
        <v>275.86446800000004</v>
      </c>
      <c r="E56" s="6">
        <f>合并口径财务报表!E35/10000</f>
        <v>572.170524</v>
      </c>
      <c r="G56" s="34"/>
      <c r="H56" s="34"/>
      <c r="I56" s="34"/>
    </row>
    <row r="57" spans="2:9">
      <c r="B57" s="1" t="str">
        <f>合并口径财务报表!B36</f>
        <v>其他应收款</v>
      </c>
      <c r="C57" s="6">
        <f>合并口径财务报表!C36/10000</f>
        <v>1053.018656</v>
      </c>
      <c r="D57" s="6">
        <f>合并口径财务报表!D36/10000</f>
        <v>675.386436</v>
      </c>
      <c r="E57" s="6">
        <f>合并口径财务报表!E36/10000</f>
        <v>754.15815199999997</v>
      </c>
      <c r="G57" s="43"/>
      <c r="H57" s="43"/>
      <c r="I57" s="43"/>
    </row>
    <row r="58" spans="2:9">
      <c r="B58" s="1" t="str">
        <f>合并口径财务报表!B37</f>
        <v>存货</v>
      </c>
      <c r="C58" s="6">
        <f>合并口径财务报表!C37/10000</f>
        <v>2115.664745</v>
      </c>
      <c r="D58" s="6">
        <f>合并口径财务报表!D37/10000</f>
        <v>2002.3877620000001</v>
      </c>
      <c r="E58" s="6">
        <f>合并口径财务报表!E37/10000</f>
        <v>2064.2195430000002</v>
      </c>
    </row>
    <row r="59" spans="2:9">
      <c r="B59" s="1" t="str">
        <f>合并口径财务报表!B38</f>
        <v>持有待售资产</v>
      </c>
      <c r="C59" s="6">
        <f>合并口径财务报表!C38/10000</f>
        <v>0</v>
      </c>
      <c r="D59" s="6">
        <f>合并口径财务报表!D38/10000</f>
        <v>0</v>
      </c>
      <c r="E59" s="6">
        <f>合并口径财务报表!E38/10000</f>
        <v>0</v>
      </c>
    </row>
    <row r="60" spans="2:9">
      <c r="B60" s="1" t="str">
        <f>合并口径财务报表!B39</f>
        <v>一年内到期的非流动资产</v>
      </c>
      <c r="C60" s="6">
        <f>合并口径财务报表!C39/10000</f>
        <v>0</v>
      </c>
      <c r="D60" s="6">
        <f>合并口径财务报表!D39/10000</f>
        <v>0</v>
      </c>
      <c r="E60" s="6">
        <f>合并口径财务报表!E39/10000</f>
        <v>0</v>
      </c>
    </row>
    <row r="61" spans="2:9">
      <c r="B61" s="1" t="str">
        <f>合并口径财务报表!B40</f>
        <v>其他流动资产</v>
      </c>
      <c r="C61" s="6">
        <f>合并口径财务报表!C40/10000</f>
        <v>26.003522</v>
      </c>
      <c r="D61" s="6">
        <f>合并口径财务报表!D40/10000</f>
        <v>138.94899799999999</v>
      </c>
      <c r="E61" s="6">
        <f>合并口径财务报表!E40/10000</f>
        <v>26.075682</v>
      </c>
    </row>
    <row r="62" spans="2:9">
      <c r="B62" s="99" t="s">
        <v>325</v>
      </c>
      <c r="C62" s="100">
        <f>SUM(C51:C61)</f>
        <v>10792.736231000001</v>
      </c>
      <c r="D62" s="100">
        <f>SUM(D51:D61)</f>
        <v>10745.617705000001</v>
      </c>
      <c r="E62" s="100">
        <f>SUM(E51:E61)</f>
        <v>7280.0934019999995</v>
      </c>
    </row>
    <row r="63" spans="2:9">
      <c r="B63" s="5" t="str">
        <f>合并口径财务报表!B42</f>
        <v>可供出售金融资产</v>
      </c>
      <c r="C63" s="6">
        <f>合并口径财务报表!C42/10000</f>
        <v>0</v>
      </c>
      <c r="D63" s="6">
        <f>合并口径财务报表!D42/10000</f>
        <v>0</v>
      </c>
      <c r="E63" s="6">
        <f>合并口径财务报表!E42/10000</f>
        <v>0</v>
      </c>
    </row>
    <row r="64" spans="2:9">
      <c r="B64" s="5" t="str">
        <f>合并口径财务报表!B43</f>
        <v>持有至到期投资</v>
      </c>
      <c r="C64" s="6">
        <f>合并口径财务报表!C43/10000</f>
        <v>0</v>
      </c>
      <c r="D64" s="6">
        <f>合并口径财务报表!D43/10000</f>
        <v>0</v>
      </c>
      <c r="E64" s="6">
        <f>合并口径财务报表!E43/10000</f>
        <v>0</v>
      </c>
    </row>
    <row r="65" spans="2:5">
      <c r="B65" s="5" t="str">
        <f>合并口径财务报表!B44</f>
        <v>长期应收款</v>
      </c>
      <c r="C65" s="6">
        <f>合并口径财务报表!C44/10000</f>
        <v>0</v>
      </c>
      <c r="D65" s="6">
        <f>合并口径财务报表!D44/10000</f>
        <v>0</v>
      </c>
      <c r="E65" s="6">
        <f>合并口径财务报表!E44/10000</f>
        <v>0</v>
      </c>
    </row>
    <row r="66" spans="2:5">
      <c r="B66" s="1" t="str">
        <f>合并口径财务报表!B45</f>
        <v>长期股权投资</v>
      </c>
      <c r="C66" s="6">
        <f>合并口径财务报表!C45/10000</f>
        <v>0</v>
      </c>
      <c r="D66" s="6">
        <f>合并口径财务报表!D45/10000</f>
        <v>0</v>
      </c>
      <c r="E66" s="6">
        <f>合并口径财务报表!E45/10000</f>
        <v>0</v>
      </c>
    </row>
    <row r="67" spans="2:5">
      <c r="B67" s="1" t="str">
        <f>合并口径财务报表!B46</f>
        <v>投资性房地产</v>
      </c>
      <c r="C67" s="6">
        <f>合并口径财务报表!C46/10000</f>
        <v>0</v>
      </c>
      <c r="D67" s="6">
        <f>合并口径财务报表!D46/10000</f>
        <v>0</v>
      </c>
      <c r="E67" s="6">
        <f>合并口径财务报表!E46/10000</f>
        <v>0</v>
      </c>
    </row>
    <row r="68" spans="2:5">
      <c r="B68" s="1" t="str">
        <f>合并口径财务报表!B47</f>
        <v>固定资产</v>
      </c>
      <c r="C68" s="6">
        <f>合并口径财务报表!C47/10000</f>
        <v>430.36366900000002</v>
      </c>
      <c r="D68" s="6">
        <f>合并口径财务报表!D47/10000</f>
        <v>540.22436700000003</v>
      </c>
      <c r="E68" s="6">
        <f>合并口径财务报表!E47/10000</f>
        <v>626.08513400000004</v>
      </c>
    </row>
    <row r="69" spans="2:5">
      <c r="B69" s="1" t="str">
        <f>合并口径财务报表!B48</f>
        <v>在建工程</v>
      </c>
      <c r="C69" s="6">
        <f>合并口径财务报表!C48/10000</f>
        <v>0</v>
      </c>
      <c r="D69" s="6">
        <f>合并口径财务报表!D48/10000</f>
        <v>0</v>
      </c>
      <c r="E69" s="6">
        <f>合并口径财务报表!E48/10000</f>
        <v>0</v>
      </c>
    </row>
    <row r="70" spans="2:5">
      <c r="B70" s="1" t="str">
        <f>合并口径财务报表!B49</f>
        <v>生产性生物资产</v>
      </c>
      <c r="C70" s="6">
        <f>合并口径财务报表!C49/10000</f>
        <v>0</v>
      </c>
      <c r="D70" s="6">
        <f>合并口径财务报表!D49/10000</f>
        <v>0</v>
      </c>
      <c r="E70" s="6">
        <f>合并口径财务报表!E49/10000</f>
        <v>0</v>
      </c>
    </row>
    <row r="71" spans="2:5">
      <c r="B71" s="1" t="str">
        <f>合并口径财务报表!B50</f>
        <v>油气资产</v>
      </c>
      <c r="C71" s="6">
        <f>合并口径财务报表!C50/10000</f>
        <v>0</v>
      </c>
      <c r="D71" s="6">
        <f>合并口径财务报表!D50/10000</f>
        <v>0</v>
      </c>
      <c r="E71" s="6">
        <f>合并口径财务报表!E50/10000</f>
        <v>0</v>
      </c>
    </row>
    <row r="72" spans="2:5">
      <c r="B72" s="1" t="str">
        <f>合并口径财务报表!B51</f>
        <v>无形资产</v>
      </c>
      <c r="C72" s="6">
        <f>合并口径财务报表!C51/10000</f>
        <v>464.18608399999999</v>
      </c>
      <c r="D72" s="6">
        <f>合并口径财务报表!D51/10000</f>
        <v>484.54512400000004</v>
      </c>
      <c r="E72" s="6">
        <f>合并口径财务报表!E51/10000</f>
        <v>0</v>
      </c>
    </row>
    <row r="73" spans="2:5">
      <c r="B73" s="1" t="str">
        <f>合并口径财务报表!B52</f>
        <v>开发支出</v>
      </c>
      <c r="C73" s="6">
        <f>合并口径财务报表!C52/10000</f>
        <v>1106.532829</v>
      </c>
      <c r="D73" s="6">
        <f>合并口径财务报表!D52/10000</f>
        <v>1106.4019599999999</v>
      </c>
      <c r="E73" s="6">
        <f>合并口径财务报表!E52/10000</f>
        <v>272.16877699999998</v>
      </c>
    </row>
    <row r="74" spans="2:5">
      <c r="B74" s="1" t="str">
        <f>合并口径财务报表!B53</f>
        <v>商誉</v>
      </c>
      <c r="C74" s="6">
        <f>合并口径财务报表!C53/10000</f>
        <v>37.181258</v>
      </c>
      <c r="D74" s="6">
        <f>合并口径财务报表!D53/10000</f>
        <v>37.181258</v>
      </c>
      <c r="E74" s="6">
        <f>合并口径财务报表!E53/10000</f>
        <v>37.181257999997996</v>
      </c>
    </row>
    <row r="75" spans="2:5">
      <c r="B75" s="1" t="str">
        <f>合并口径财务报表!B54</f>
        <v xml:space="preserve">长期待摊费用 </v>
      </c>
      <c r="C75" s="6">
        <f>合并口径财务报表!C54/10000</f>
        <v>0</v>
      </c>
      <c r="D75" s="6">
        <f>合并口径财务报表!D54/10000</f>
        <v>0</v>
      </c>
      <c r="E75" s="6">
        <f>合并口径财务报表!E54/10000</f>
        <v>0</v>
      </c>
    </row>
    <row r="76" spans="2:5">
      <c r="B76" s="5" t="str">
        <f>合并口径财务报表!B55</f>
        <v xml:space="preserve">递延所得税资产 </v>
      </c>
      <c r="C76" s="6">
        <f>合并口径财务报表!C55/10000</f>
        <v>1162.714326</v>
      </c>
      <c r="D76" s="6">
        <f>合并口径财务报表!D55/10000</f>
        <v>1162.714326</v>
      </c>
      <c r="E76" s="6">
        <f>合并口径财务报表!E55/10000</f>
        <v>1538.2291580000001</v>
      </c>
    </row>
    <row r="77" spans="2:5">
      <c r="B77" s="5" t="str">
        <f>合并口径财务报表!B56</f>
        <v>其他非流动资产</v>
      </c>
      <c r="C77" s="6">
        <f>合并口径财务报表!C56/10000</f>
        <v>0</v>
      </c>
      <c r="D77" s="6">
        <f>合并口径财务报表!D56/10000</f>
        <v>0</v>
      </c>
      <c r="E77" s="6">
        <f>合并口径财务报表!E56/10000</f>
        <v>0</v>
      </c>
    </row>
    <row r="78" spans="2:5">
      <c r="B78" s="99" t="s">
        <v>326</v>
      </c>
      <c r="C78" s="100">
        <f>SUM(C63:C77)</f>
        <v>3200.9781659999999</v>
      </c>
      <c r="D78" s="100">
        <f t="shared" ref="D78:E78" si="8">SUM(D63:D77)</f>
        <v>3331.067035</v>
      </c>
      <c r="E78" s="100">
        <f t="shared" si="8"/>
        <v>2473.6643269999981</v>
      </c>
    </row>
    <row r="79" spans="2:5">
      <c r="B79" s="99" t="str">
        <f>合并口径财务报表!B57</f>
        <v>资产总计</v>
      </c>
      <c r="C79" s="100">
        <f>SUM(C78,C62)</f>
        <v>13993.714397</v>
      </c>
      <c r="D79" s="100">
        <f>SUM(D78,D62)</f>
        <v>14076.684740000001</v>
      </c>
      <c r="E79" s="100">
        <f>SUM(E78,E62)</f>
        <v>9753.7577289999972</v>
      </c>
    </row>
    <row r="80" spans="2:5">
      <c r="B80" s="5" t="str">
        <f>合并口径财务报表!B59</f>
        <v>短期借款</v>
      </c>
      <c r="C80" s="6">
        <f>合并口径财务报表!C59/10000</f>
        <v>4499</v>
      </c>
      <c r="D80" s="6">
        <f>合并口径财务报表!D59/10000</f>
        <v>3895.9613799999997</v>
      </c>
      <c r="E80" s="6">
        <f>合并口径财务报表!E59/10000</f>
        <v>2400</v>
      </c>
    </row>
    <row r="81" spans="2:9">
      <c r="B81" s="5" t="str">
        <f>合并口径财务报表!B60</f>
        <v>以公允价值计量且其变动计入当期损益的金融负债</v>
      </c>
      <c r="C81" s="6">
        <f>合并口径财务报表!C60/10000</f>
        <v>0</v>
      </c>
      <c r="D81" s="6">
        <f>合并口径财务报表!D60/10000</f>
        <v>0</v>
      </c>
      <c r="E81" s="6">
        <f>合并口径财务报表!E60/10000</f>
        <v>0</v>
      </c>
    </row>
    <row r="82" spans="2:9">
      <c r="B82" s="5" t="str">
        <f>合并口径财务报表!B61</f>
        <v>衍生金融负债</v>
      </c>
      <c r="C82" s="6">
        <f>合并口径财务报表!C61/10000</f>
        <v>0</v>
      </c>
      <c r="D82" s="6">
        <f>合并口径财务报表!D61/10000</f>
        <v>0</v>
      </c>
      <c r="E82" s="6">
        <f>合并口径财务报表!E61/10000</f>
        <v>0</v>
      </c>
    </row>
    <row r="83" spans="2:9">
      <c r="B83" s="1" t="str">
        <f>合并口径财务报表!B62</f>
        <v xml:space="preserve">应付票据  </v>
      </c>
      <c r="C83" s="6">
        <f>合并口径财务报表!C62/10000</f>
        <v>0</v>
      </c>
      <c r="D83" s="6">
        <f>合并口径财务报表!D62/10000</f>
        <v>0</v>
      </c>
      <c r="E83" s="6">
        <f>合并口径财务报表!E62/10000</f>
        <v>0</v>
      </c>
      <c r="G83" s="34"/>
      <c r="H83" s="34"/>
      <c r="I83" s="34"/>
    </row>
    <row r="84" spans="2:9">
      <c r="B84" s="1" t="str">
        <f>合并口径财务报表!B63</f>
        <v xml:space="preserve">应付账款            </v>
      </c>
      <c r="C84" s="6">
        <f>合并口径财务报表!C63/10000</f>
        <v>1683.9580879999999</v>
      </c>
      <c r="D84" s="6">
        <f>合并口径财务报表!D63/10000</f>
        <v>1870.9577129999998</v>
      </c>
      <c r="E84" s="6">
        <f>合并口径财务报表!E63/10000</f>
        <v>1641.8710390000001</v>
      </c>
      <c r="G84" s="34"/>
      <c r="H84" s="34"/>
      <c r="I84" s="34"/>
    </row>
    <row r="85" spans="2:9">
      <c r="B85" s="5" t="str">
        <f>合并口径财务报表!B64</f>
        <v xml:space="preserve">预收账款              </v>
      </c>
      <c r="C85" s="6">
        <f>合并口径财务报表!C64/10000</f>
        <v>356.24055099999998</v>
      </c>
      <c r="D85" s="6">
        <f>合并口径财务报表!D64/10000</f>
        <v>304.38366099999996</v>
      </c>
      <c r="E85" s="6">
        <f>合并口径财务报表!E64/10000</f>
        <v>1036.998791</v>
      </c>
      <c r="G85" s="34"/>
      <c r="H85" s="34"/>
      <c r="I85" s="34"/>
    </row>
    <row r="86" spans="2:9">
      <c r="B86" s="5" t="str">
        <f>合并口径财务报表!B65</f>
        <v xml:space="preserve">应付职工薪酬    </v>
      </c>
      <c r="C86" s="6">
        <f>合并口径财务报表!C65/10000</f>
        <v>328.74466200000001</v>
      </c>
      <c r="D86" s="6">
        <f>合并口径财务报表!D65/10000</f>
        <v>376.72954399999998</v>
      </c>
      <c r="E86" s="6">
        <f>合并口径财务报表!E65/10000</f>
        <v>537.44857100000002</v>
      </c>
      <c r="G86" s="43"/>
      <c r="H86" s="43"/>
      <c r="I86" s="43"/>
    </row>
    <row r="87" spans="2:9">
      <c r="B87" s="5" t="str">
        <f>合并口径财务报表!B66</f>
        <v xml:space="preserve">应交税费     </v>
      </c>
      <c r="C87" s="6">
        <f>合并口径财务报表!C66/10000</f>
        <v>576.24559999999997</v>
      </c>
      <c r="D87" s="6">
        <f>合并口径财务报表!D66/10000</f>
        <v>920.62444700000003</v>
      </c>
      <c r="E87" s="6">
        <f>合并口径财务报表!E66/10000</f>
        <v>649.33155099999999</v>
      </c>
    </row>
    <row r="88" spans="2:9">
      <c r="B88" s="5" t="str">
        <f>合并口径财务报表!B67</f>
        <v>其他应付款</v>
      </c>
      <c r="C88" s="6">
        <f>合并口径财务报表!C67/10000</f>
        <v>3313.3287839999998</v>
      </c>
      <c r="D88" s="6">
        <f>合并口径财务报表!D67/10000</f>
        <v>5183.9994909999996</v>
      </c>
      <c r="E88" s="6">
        <f>合并口径财务报表!E67/10000</f>
        <v>4882.654732</v>
      </c>
    </row>
    <row r="89" spans="2:9">
      <c r="B89" s="5" t="str">
        <f>合并口径财务报表!B68</f>
        <v>持有待售负债</v>
      </c>
      <c r="C89" s="6">
        <f>合并口径财务报表!C68/10000</f>
        <v>0</v>
      </c>
      <c r="D89" s="6">
        <f>合并口径财务报表!D68/10000</f>
        <v>0</v>
      </c>
      <c r="E89" s="6">
        <f>合并口径财务报表!E68/10000</f>
        <v>0</v>
      </c>
    </row>
    <row r="90" spans="2:9">
      <c r="B90" s="5" t="str">
        <f>合并口径财务报表!B69</f>
        <v>一年内到期的非流动负债</v>
      </c>
      <c r="C90" s="6">
        <f>合并口径财务报表!C69/10000</f>
        <v>0</v>
      </c>
      <c r="D90" s="6">
        <f>合并口径财务报表!D69/10000</f>
        <v>0</v>
      </c>
      <c r="E90" s="6">
        <f>合并口径财务报表!E69/10000</f>
        <v>0</v>
      </c>
    </row>
    <row r="91" spans="2:9">
      <c r="B91" s="5" t="str">
        <f>合并口径财务报表!B70</f>
        <v>其他流动负债</v>
      </c>
      <c r="C91" s="6">
        <f>合并口径财务报表!C70/10000</f>
        <v>587.5</v>
      </c>
      <c r="D91" s="6">
        <f>合并口径财务报表!D70/10000</f>
        <v>587.5</v>
      </c>
      <c r="E91" s="6">
        <f>合并口径财务报表!E70/10000</f>
        <v>600</v>
      </c>
    </row>
    <row r="92" spans="2:9">
      <c r="B92" s="99" t="s">
        <v>327</v>
      </c>
      <c r="C92" s="100">
        <f>SUM(C80:C91)</f>
        <v>11345.017684999999</v>
      </c>
      <c r="D92" s="100">
        <f>SUM(D80:D91)</f>
        <v>13140.156235999999</v>
      </c>
      <c r="E92" s="100">
        <f>SUM(E80:E91)</f>
        <v>11748.304683999999</v>
      </c>
    </row>
    <row r="93" spans="2:9">
      <c r="B93" s="1" t="str">
        <f>合并口径财务报表!B72</f>
        <v>长期借款</v>
      </c>
      <c r="C93" s="6">
        <f>合并口径财务报表!C72/10000</f>
        <v>194</v>
      </c>
      <c r="D93" s="6">
        <f>合并口径财务报表!D72/10000</f>
        <v>0</v>
      </c>
      <c r="E93" s="6">
        <f>合并口径财务报表!E72/10000</f>
        <v>0</v>
      </c>
    </row>
    <row r="94" spans="2:9">
      <c r="B94" s="5" t="str">
        <f>合并口径财务报表!B73</f>
        <v>应付债券</v>
      </c>
      <c r="C94" s="6">
        <f>合并口径财务报表!C73/10000</f>
        <v>0</v>
      </c>
      <c r="D94" s="6">
        <f>合并口径财务报表!D73/10000</f>
        <v>0</v>
      </c>
      <c r="E94" s="6">
        <f>合并口径财务报表!E73/10000</f>
        <v>0</v>
      </c>
    </row>
    <row r="95" spans="2:9">
      <c r="B95" s="5" t="str">
        <f>合并口径财务报表!B74</f>
        <v xml:space="preserve">    其中：优先股</v>
      </c>
      <c r="C95" s="6">
        <f>合并口径财务报表!C74/10000</f>
        <v>0</v>
      </c>
      <c r="D95" s="6">
        <f>合并口径财务报表!D74/10000</f>
        <v>0</v>
      </c>
      <c r="E95" s="6">
        <f>合并口径财务报表!E74/10000</f>
        <v>0</v>
      </c>
    </row>
    <row r="96" spans="2:9">
      <c r="B96" s="5" t="str">
        <f>合并口径财务报表!B75</f>
        <v xml:space="preserve">          永续股</v>
      </c>
      <c r="C96" s="6">
        <f>合并口径财务报表!C75/10000</f>
        <v>0</v>
      </c>
      <c r="D96" s="6">
        <f>合并口径财务报表!D75/10000</f>
        <v>0</v>
      </c>
      <c r="E96" s="6">
        <f>合并口径财务报表!E75/10000</f>
        <v>0</v>
      </c>
    </row>
    <row r="97" spans="2:7">
      <c r="B97" s="1" t="str">
        <f>合并口径财务报表!B76</f>
        <v>长期应付款</v>
      </c>
      <c r="C97" s="6">
        <f>合并口径财务报表!C76/10000</f>
        <v>0</v>
      </c>
      <c r="D97" s="6">
        <f>合并口径财务报表!D76/10000</f>
        <v>0</v>
      </c>
      <c r="E97" s="6">
        <f>合并口径财务报表!E76/10000</f>
        <v>0</v>
      </c>
    </row>
    <row r="98" spans="2:7">
      <c r="B98" s="1" t="str">
        <f>合并口径财务报表!B77</f>
        <v>预计负债</v>
      </c>
      <c r="C98" s="6">
        <f>合并口径财务报表!C77/10000</f>
        <v>0</v>
      </c>
      <c r="D98" s="6">
        <f>合并口径财务报表!D77/10000</f>
        <v>0</v>
      </c>
      <c r="E98" s="6">
        <f>合并口径财务报表!E77/10000</f>
        <v>0</v>
      </c>
    </row>
    <row r="99" spans="2:7">
      <c r="B99" s="1" t="str">
        <f>合并口径财务报表!B78</f>
        <v>递延收益</v>
      </c>
      <c r="C99" s="6">
        <f>合并口径财务报表!C78/10000</f>
        <v>26</v>
      </c>
      <c r="D99" s="6">
        <f>合并口径财务报表!D78/10000</f>
        <v>26</v>
      </c>
      <c r="E99" s="6">
        <f>合并口径财务报表!E78/10000</f>
        <v>24</v>
      </c>
    </row>
    <row r="100" spans="2:7">
      <c r="B100" s="5" t="str">
        <f>合并口径财务报表!B79</f>
        <v>递延所得税负债</v>
      </c>
      <c r="C100" s="6">
        <f>合并口径财务报表!C79/10000</f>
        <v>0</v>
      </c>
      <c r="D100" s="6">
        <f>合并口径财务报表!D79/10000</f>
        <v>0</v>
      </c>
      <c r="E100" s="6">
        <f>合并口径财务报表!E79/10000</f>
        <v>0</v>
      </c>
    </row>
    <row r="101" spans="2:7">
      <c r="B101" s="5" t="str">
        <f>合并口径财务报表!B80</f>
        <v>其他非流动负债</v>
      </c>
      <c r="C101" s="6">
        <f>合并口径财务报表!C80/10000</f>
        <v>0</v>
      </c>
      <c r="D101" s="6">
        <f>合并口径财务报表!D80/10000</f>
        <v>0</v>
      </c>
      <c r="E101" s="6">
        <f>合并口径财务报表!E80/10000</f>
        <v>0</v>
      </c>
    </row>
    <row r="102" spans="2:7">
      <c r="B102" s="99" t="s">
        <v>328</v>
      </c>
      <c r="C102" s="100">
        <f>SUM(C93:C101)-C95-C96</f>
        <v>220</v>
      </c>
      <c r="D102" s="100">
        <f t="shared" ref="D102:E102" si="9">SUM(D93:D101)-D95-D96</f>
        <v>26</v>
      </c>
      <c r="E102" s="100">
        <f t="shared" si="9"/>
        <v>24</v>
      </c>
    </row>
    <row r="103" spans="2:7">
      <c r="B103" s="99" t="str">
        <f>合并口径财务报表!B81</f>
        <v xml:space="preserve">负债合计 </v>
      </c>
      <c r="C103" s="100">
        <f>C102+C92</f>
        <v>11565.017684999999</v>
      </c>
      <c r="D103" s="100">
        <f t="shared" ref="D103:E103" si="10">D102+D92</f>
        <v>13166.156235999999</v>
      </c>
      <c r="E103" s="100">
        <f t="shared" si="10"/>
        <v>11772.304683999999</v>
      </c>
      <c r="F103" s="36" t="s">
        <v>292</v>
      </c>
      <c r="G103" s="36" t="s">
        <v>284</v>
      </c>
    </row>
    <row r="104" spans="2:7">
      <c r="B104" s="5" t="str">
        <f>合并口径财务报表!B83</f>
        <v>实收资本/股本</v>
      </c>
      <c r="C104" s="6">
        <f>合并口径财务报表!C83/10000</f>
        <v>5140</v>
      </c>
      <c r="D104" s="6">
        <f>合并口径财务报表!D83/10000</f>
        <v>5000</v>
      </c>
      <c r="E104" s="6">
        <f>合并口径财务报表!E83/10000</f>
        <v>5000</v>
      </c>
      <c r="F104" s="43">
        <f>C104+C108-D104-D108</f>
        <v>7939.7338660000005</v>
      </c>
      <c r="G104" s="43">
        <f>D104+D108-E104-E108</f>
        <v>0</v>
      </c>
    </row>
    <row r="105" spans="2:7">
      <c r="B105" s="5" t="str">
        <f>合并口径财务报表!B84</f>
        <v>其他权益工具</v>
      </c>
      <c r="C105" s="6">
        <f>合并口径财务报表!C84/10000</f>
        <v>0</v>
      </c>
      <c r="D105" s="6">
        <f>合并口径财务报表!D84/10000</f>
        <v>0</v>
      </c>
      <c r="E105" s="6">
        <f>合并口径财务报表!E84/10000</f>
        <v>0</v>
      </c>
    </row>
    <row r="106" spans="2:7">
      <c r="B106" s="5" t="str">
        <f>合并口径财务报表!B85</f>
        <v xml:space="preserve">    其中：优先股</v>
      </c>
      <c r="C106" s="6">
        <f>合并口径财务报表!C85/10000</f>
        <v>0</v>
      </c>
      <c r="D106" s="6">
        <f>合并口径财务报表!D85/10000</f>
        <v>0</v>
      </c>
      <c r="E106" s="6">
        <f>合并口径财务报表!E85/10000</f>
        <v>0</v>
      </c>
    </row>
    <row r="107" spans="2:7">
      <c r="B107" s="5" t="str">
        <f>合并口径财务报表!B86</f>
        <v xml:space="preserve">          永续股</v>
      </c>
      <c r="C107" s="6">
        <f>合并口径财务报表!C86/10000</f>
        <v>0</v>
      </c>
      <c r="D107" s="6">
        <f>合并口径财务报表!D86/10000</f>
        <v>0</v>
      </c>
      <c r="E107" s="6">
        <f>合并口径财务报表!E86/10000</f>
        <v>0</v>
      </c>
    </row>
    <row r="108" spans="2:7">
      <c r="B108" s="5" t="str">
        <f>合并口径财务报表!B87</f>
        <v xml:space="preserve">资本公积 </v>
      </c>
      <c r="C108" s="6">
        <f>合并口径财务报表!C87/10000</f>
        <v>7164.7706170000001</v>
      </c>
      <c r="D108" s="6">
        <f>合并口径财务报表!D87/10000</f>
        <v>-634.96324900000002</v>
      </c>
      <c r="E108" s="6">
        <f>合并口径财务报表!E87/10000</f>
        <v>-634.96324900000002</v>
      </c>
    </row>
    <row r="109" spans="2:7">
      <c r="B109" s="5" t="str">
        <f>合并口径财务报表!B88</f>
        <v>减：库存股</v>
      </c>
      <c r="C109" s="6">
        <f>合并口径财务报表!C88/10000</f>
        <v>0</v>
      </c>
      <c r="D109" s="6">
        <f>合并口径财务报表!D88/10000</f>
        <v>0</v>
      </c>
      <c r="E109" s="6">
        <f>合并口径财务报表!E88/10000</f>
        <v>0</v>
      </c>
    </row>
    <row r="110" spans="2:7">
      <c r="B110" s="5" t="str">
        <f>合并口径财务报表!B89</f>
        <v>其他综合收益</v>
      </c>
      <c r="C110" s="6">
        <f>合并口径财务报表!C89/10000</f>
        <v>0</v>
      </c>
      <c r="D110" s="6">
        <f>合并口径财务报表!D89/10000</f>
        <v>0</v>
      </c>
      <c r="E110" s="6">
        <f>合并口径财务报表!E89/10000</f>
        <v>0</v>
      </c>
    </row>
    <row r="111" spans="2:7">
      <c r="B111" s="5" t="str">
        <f>合并口径财务报表!B90</f>
        <v>盈余公积</v>
      </c>
      <c r="C111" s="6">
        <f>合并口径财务报表!C90/10000</f>
        <v>0</v>
      </c>
      <c r="D111" s="6">
        <f>合并口径财务报表!D90/10000</f>
        <v>0</v>
      </c>
      <c r="E111" s="6">
        <f>合并口径财务报表!E90/10000</f>
        <v>0</v>
      </c>
    </row>
    <row r="112" spans="2:7">
      <c r="B112" s="5" t="str">
        <f>合并口径财务报表!B91</f>
        <v>未分配利润</v>
      </c>
      <c r="C112" s="6">
        <f>合并口径财务报表!C91/10000</f>
        <v>-9883.2278370000004</v>
      </c>
      <c r="D112" s="6">
        <f>合并口径财务报表!D91/10000</f>
        <v>-3491.1425899999999</v>
      </c>
      <c r="E112" s="6">
        <f>合并口径财务报表!E91/10000</f>
        <v>-6420.7413960000003</v>
      </c>
    </row>
    <row r="113" spans="2:9">
      <c r="B113" s="5" t="str">
        <f>合并口径财务报表!B92</f>
        <v>外币报表折算差额</v>
      </c>
      <c r="C113" s="6">
        <f>合并口径财务报表!C92/10000</f>
        <v>0</v>
      </c>
      <c r="D113" s="6">
        <f>合并口径财务报表!D92/10000</f>
        <v>0</v>
      </c>
      <c r="E113" s="6">
        <f>合并口径财务报表!E92/10000</f>
        <v>0</v>
      </c>
    </row>
    <row r="114" spans="2:9">
      <c r="B114" s="5" t="str">
        <f>合并口径财务报表!B93</f>
        <v>少数股东权益</v>
      </c>
      <c r="C114" s="6">
        <f>合并口径财务报表!C93/10000</f>
        <v>7.1539320000000011</v>
      </c>
      <c r="D114" s="6">
        <f>合并口径财务报表!D93/10000</f>
        <v>36.634343000000001</v>
      </c>
      <c r="E114" s="6">
        <f>合并口径财务报表!E93/10000</f>
        <v>37.157690000000002</v>
      </c>
    </row>
    <row r="115" spans="2:9">
      <c r="B115" s="99" t="str">
        <f>合并口径财务报表!B94</f>
        <v>所有者权益合计</v>
      </c>
      <c r="C115" s="100">
        <f t="shared" ref="C115" si="11">SUM(C104:C114)-C106-C107-C109</f>
        <v>2428.6967119999999</v>
      </c>
      <c r="D115" s="100">
        <f t="shared" ref="D115:E115" si="12">SUM(D104:D114)-D106-D107-D109</f>
        <v>910.52850399999966</v>
      </c>
      <c r="E115" s="100">
        <f t="shared" si="12"/>
        <v>-2018.5469550000007</v>
      </c>
    </row>
    <row r="116" spans="2:9">
      <c r="B116" s="43" t="s">
        <v>14</v>
      </c>
      <c r="C116" s="50">
        <f>SUM(C51:C61)</f>
        <v>10792.736231000001</v>
      </c>
      <c r="D116" s="50">
        <f>SUM(D51:D61)</f>
        <v>10745.617705000001</v>
      </c>
      <c r="E116" s="50">
        <f>SUM(E51:E61)</f>
        <v>7280.0934019999995</v>
      </c>
    </row>
    <row r="117" spans="2:9">
      <c r="B117" s="43" t="s">
        <v>15</v>
      </c>
      <c r="C117" s="50">
        <f>SUM(C80:C91)</f>
        <v>11345.017684999999</v>
      </c>
      <c r="D117" s="50">
        <f>SUM(D80:D91)</f>
        <v>13140.156235999999</v>
      </c>
      <c r="E117" s="50">
        <f>SUM(E80:E91)</f>
        <v>11748.304683999999</v>
      </c>
    </row>
    <row r="118" spans="2:9">
      <c r="B118" s="51"/>
      <c r="C118" s="43">
        <f>ROUND(C79-C103-C115,2)</f>
        <v>0</v>
      </c>
      <c r="D118" s="43">
        <f>ROUND(D79-D103-D115,2)</f>
        <v>0</v>
      </c>
      <c r="E118" s="43">
        <f>ROUND(E79-E103-E115,2)</f>
        <v>0</v>
      </c>
    </row>
    <row r="119" spans="2:9">
      <c r="B119" s="51"/>
      <c r="C119" s="51"/>
      <c r="D119" s="51"/>
      <c r="E119" s="43"/>
    </row>
    <row r="120" spans="2:9">
      <c r="B120" s="54" t="s">
        <v>3</v>
      </c>
      <c r="C120" s="55" t="str">
        <f>合并口径财务报表!$C$28</f>
        <v>2020年6月30日</v>
      </c>
      <c r="D120" s="55" t="str">
        <f>合并口径财务报表!$D$28</f>
        <v>2019年12月31日</v>
      </c>
      <c r="E120" s="55" t="str">
        <f>合并口径财务报表!$E$28</f>
        <v>2018年12月31日</v>
      </c>
    </row>
    <row r="121" spans="2:9">
      <c r="B121" s="44" t="s">
        <v>16</v>
      </c>
      <c r="C121" s="48">
        <f>C116/C117</f>
        <v>0.95131947174218989</v>
      </c>
      <c r="D121" s="48">
        <f>D116/D117</f>
        <v>0.81776940182494195</v>
      </c>
      <c r="E121" s="48">
        <f>E116/E117</f>
        <v>0.6196718248135622</v>
      </c>
    </row>
    <row r="122" spans="2:9">
      <c r="B122" s="44" t="s">
        <v>17</v>
      </c>
      <c r="C122" s="48">
        <f>(C116-C56-C54-C58)/C117</f>
        <v>0.7027921846734434</v>
      </c>
      <c r="D122" s="48">
        <f>(D116-D56-D54-D58)/D117</f>
        <v>0.61639075415328282</v>
      </c>
      <c r="E122" s="48">
        <f>(E116-E56-E54-E58)/E117</f>
        <v>0.35884578800050465</v>
      </c>
    </row>
    <row r="123" spans="2:9">
      <c r="B123" s="44" t="s">
        <v>18</v>
      </c>
      <c r="C123" s="48">
        <f>C51/C117</f>
        <v>5.4958934072388804E-2</v>
      </c>
      <c r="D123" s="48">
        <f>D51/D117</f>
        <v>5.3779365656546979E-2</v>
      </c>
      <c r="E123" s="48">
        <f>E51/E117</f>
        <v>4.7291510047118908E-2</v>
      </c>
    </row>
    <row r="124" spans="2:9">
      <c r="B124" s="44" t="s">
        <v>19</v>
      </c>
      <c r="C124" s="49">
        <f>C103/C79</f>
        <v>0.82644374159010492</v>
      </c>
      <c r="D124" s="49">
        <f>D103/D79</f>
        <v>0.93531655209889986</v>
      </c>
      <c r="E124" s="49">
        <f>E103/E79</f>
        <v>1.2069506964478349</v>
      </c>
    </row>
    <row r="126" spans="2:9">
      <c r="B126" s="54" t="s">
        <v>3</v>
      </c>
      <c r="C126" s="55" t="str">
        <f>合并口径财务报表!$C$28</f>
        <v>2020年6月30日</v>
      </c>
      <c r="D126" s="55" t="str">
        <f>合并口径财务报表!$D$28</f>
        <v>2019年12月31日</v>
      </c>
      <c r="E126" s="55" t="str">
        <f>合并口径财务报表!$E$28</f>
        <v>2018年12月31日</v>
      </c>
    </row>
    <row r="127" spans="2:9">
      <c r="B127" s="44" t="s">
        <v>20</v>
      </c>
      <c r="C127" s="29">
        <f>C3/C55</f>
        <v>0.83514566627450559</v>
      </c>
      <c r="D127" s="29">
        <f t="shared" ref="D127:E127" si="13">D3/D55</f>
        <v>2.5656888115266603</v>
      </c>
      <c r="E127" s="29">
        <f t="shared" si="13"/>
        <v>3.5714783548481641</v>
      </c>
      <c r="F127" s="34">
        <f>365/C127</f>
        <v>437.04950494232401</v>
      </c>
      <c r="G127" s="34">
        <f>365/D127</f>
        <v>142.26199154012534</v>
      </c>
      <c r="H127" s="34">
        <f>365/E127</f>
        <v>102.1985754175227</v>
      </c>
      <c r="I127" s="34"/>
    </row>
    <row r="128" spans="2:9">
      <c r="B128" s="44" t="s">
        <v>21</v>
      </c>
      <c r="C128" s="29">
        <f>C4/C58</f>
        <v>0.88411191112417964</v>
      </c>
      <c r="D128" s="29">
        <f>D4/D58</f>
        <v>3.1092416639529983</v>
      </c>
      <c r="E128" s="48">
        <f>E4/E58</f>
        <v>2.3725125932498741</v>
      </c>
      <c r="F128" s="34">
        <f t="shared" ref="F128:F131" si="14">365/C128</f>
        <v>412.84366312392461</v>
      </c>
      <c r="G128" s="34">
        <f t="shared" ref="G128:G131" si="15">365/D128</f>
        <v>117.39196866928309</v>
      </c>
      <c r="H128" s="34">
        <f t="shared" ref="H128:H131" si="16">365/E128</f>
        <v>153.84533723381506</v>
      </c>
      <c r="I128" s="34"/>
    </row>
    <row r="129" spans="2:9">
      <c r="B129" s="44" t="s">
        <v>86</v>
      </c>
      <c r="C129" s="29">
        <f>C4/C84</f>
        <v>1.1107666006233763</v>
      </c>
      <c r="D129" s="29">
        <f t="shared" ref="D129:E129" si="17">D4/D84</f>
        <v>3.3276580297568708</v>
      </c>
      <c r="E129" s="29">
        <f t="shared" si="17"/>
        <v>2.9828084817080445</v>
      </c>
      <c r="F129" s="34">
        <f t="shared" si="14"/>
        <v>328.60188611645088</v>
      </c>
      <c r="G129" s="34">
        <f t="shared" si="15"/>
        <v>109.68675168423724</v>
      </c>
      <c r="H129" s="34">
        <f t="shared" si="16"/>
        <v>122.36789664450404</v>
      </c>
      <c r="I129" s="34"/>
    </row>
    <row r="130" spans="2:9">
      <c r="B130" s="44" t="s">
        <v>22</v>
      </c>
      <c r="C130" s="29">
        <f>C3/(C68+C69)</f>
        <v>12.14916909029326</v>
      </c>
      <c r="D130" s="29">
        <f>D3/(D68+D69)</f>
        <v>31.243124022208349</v>
      </c>
      <c r="E130" s="29">
        <f>E3/(E68+E69)</f>
        <v>16.42885252886391</v>
      </c>
      <c r="F130" s="34">
        <f t="shared" si="14"/>
        <v>30.043206847093899</v>
      </c>
      <c r="G130" s="34">
        <f t="shared" si="15"/>
        <v>11.682570531056671</v>
      </c>
      <c r="H130" s="34">
        <f t="shared" si="16"/>
        <v>22.217011161231753</v>
      </c>
      <c r="I130" s="34"/>
    </row>
    <row r="131" spans="2:9">
      <c r="B131" s="44" t="s">
        <v>23</v>
      </c>
      <c r="C131" s="29">
        <f>C3/C79</f>
        <v>0.37363639393132886</v>
      </c>
      <c r="D131" s="29">
        <f>D3/D79</f>
        <v>1.1990249984102435</v>
      </c>
      <c r="E131" s="48">
        <f>E3/E79</f>
        <v>1.0545536010616656</v>
      </c>
      <c r="F131" s="34">
        <f t="shared" si="14"/>
        <v>976.8855655615921</v>
      </c>
      <c r="G131" s="34">
        <f t="shared" si="15"/>
        <v>304.41400344775474</v>
      </c>
      <c r="H131" s="34">
        <f t="shared" si="16"/>
        <v>346.11801584342265</v>
      </c>
      <c r="I131" s="34"/>
    </row>
    <row r="133" spans="2:9">
      <c r="B133" s="56" t="s">
        <v>3</v>
      </c>
      <c r="C133" s="53" t="str">
        <f>合并口径财务报表!$C$2</f>
        <v>2020年1-6月</v>
      </c>
      <c r="D133" s="53" t="str">
        <f>合并口径财务报表!$D$2</f>
        <v>2019年</v>
      </c>
      <c r="E133" s="53" t="str">
        <f>合并口径财务报表!$E$2</f>
        <v>2018年</v>
      </c>
    </row>
    <row r="134" spans="2:9">
      <c r="B134" s="4" t="s">
        <v>4</v>
      </c>
      <c r="C134" s="24">
        <f>合并口径财务报表!C109/10000</f>
        <v>-2200.1182180000005</v>
      </c>
      <c r="D134" s="24">
        <f>合并口径财务报表!D109/10000</f>
        <v>-705.61472399999502</v>
      </c>
      <c r="E134" s="24">
        <f>合并口径财务报表!E109/10000</f>
        <v>-4029.1055310000165</v>
      </c>
    </row>
    <row r="135" spans="2:9">
      <c r="B135" s="4" t="s">
        <v>5</v>
      </c>
      <c r="C135" s="24">
        <f>合并口径财务报表!C110/10000</f>
        <v>-1.2099</v>
      </c>
      <c r="D135" s="24">
        <f>合并口径财务报表!D110/10000</f>
        <v>-287.02883500000002</v>
      </c>
      <c r="E135" s="24">
        <f>合并口径财务报表!E110/10000</f>
        <v>-814.1669730000001</v>
      </c>
    </row>
    <row r="136" spans="2:9">
      <c r="B136" s="4" t="s">
        <v>6</v>
      </c>
      <c r="C136" s="24">
        <f>合并口径财务报表!C111/10000</f>
        <v>2118.1689300000003</v>
      </c>
      <c r="D136" s="24">
        <f>合并口径财务报表!D111/10000</f>
        <v>1143.7177570000001</v>
      </c>
      <c r="E136" s="24">
        <f>合并口径财务报表!E111/10000</f>
        <v>3222.6254399999998</v>
      </c>
    </row>
    <row r="139" spans="2:9">
      <c r="B139" s="52"/>
      <c r="C139" s="52"/>
      <c r="D139" s="52"/>
      <c r="E139" s="52"/>
    </row>
  </sheetData>
  <phoneticPr fontId="6" type="noConversion"/>
  <pageMargins left="0.75" right="0.75" top="1" bottom="1" header="0.5" footer="0.5"/>
  <pageSetup paperSize="9" orientation="portrait" r:id="rId1"/>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41"/>
  <sheetViews>
    <sheetView zoomScale="90" zoomScaleNormal="90" workbookViewId="0">
      <selection activeCell="F26" sqref="F26"/>
    </sheetView>
  </sheetViews>
  <sheetFormatPr defaultColWidth="9" defaultRowHeight="14.4"/>
  <cols>
    <col min="1" max="1" width="2.3984375" style="8" customWidth="1"/>
    <col min="2" max="2" width="17.09765625" style="8" bestFit="1" customWidth="1"/>
    <col min="3" max="4" width="12.5" style="34" customWidth="1"/>
    <col min="5" max="5" width="12.5" style="73" customWidth="1"/>
    <col min="6" max="6" width="16.09765625" style="73" bestFit="1" customWidth="1"/>
    <col min="7" max="8" width="12.5" style="34" customWidth="1"/>
    <col min="9" max="9" width="12.5" style="73" customWidth="1"/>
    <col min="10" max="10" width="16.09765625" style="73" bestFit="1" customWidth="1"/>
    <col min="11" max="12" width="12.5" style="34" customWidth="1"/>
    <col min="13" max="13" width="12.5" style="73" customWidth="1"/>
    <col min="14" max="14" width="16.09765625" style="73" bestFit="1" customWidth="1"/>
    <col min="15" max="16384" width="9" style="8"/>
  </cols>
  <sheetData>
    <row r="1" spans="2:14" ht="15" thickBot="1">
      <c r="B1" s="245" t="s">
        <v>224</v>
      </c>
      <c r="C1" s="245"/>
      <c r="D1" s="245"/>
      <c r="E1" s="245"/>
      <c r="F1" s="245"/>
      <c r="G1" s="245"/>
      <c r="H1" s="245"/>
      <c r="I1" s="245"/>
      <c r="J1" s="245"/>
      <c r="K1" s="245"/>
      <c r="L1" s="245"/>
      <c r="M1" s="245"/>
      <c r="N1" s="245"/>
    </row>
    <row r="2" spans="2:14">
      <c r="B2" s="247" t="s">
        <v>24</v>
      </c>
      <c r="C2" s="242" t="str">
        <f>'报告（自动生成）'!C2</f>
        <v>2020年1-6月</v>
      </c>
      <c r="D2" s="243"/>
      <c r="E2" s="243"/>
      <c r="F2" s="244"/>
      <c r="G2" s="242" t="str">
        <f>合并口径财务报表!D2</f>
        <v>2019年</v>
      </c>
      <c r="H2" s="243"/>
      <c r="I2" s="243"/>
      <c r="J2" s="244"/>
      <c r="K2" s="242" t="str">
        <f>合并口径财务报表!E2</f>
        <v>2018年</v>
      </c>
      <c r="L2" s="243"/>
      <c r="M2" s="243"/>
      <c r="N2" s="244"/>
    </row>
    <row r="3" spans="2:14">
      <c r="B3" s="248"/>
      <c r="C3" s="117" t="s">
        <v>118</v>
      </c>
      <c r="D3" s="67" t="s">
        <v>26</v>
      </c>
      <c r="E3" s="69" t="s">
        <v>8</v>
      </c>
      <c r="F3" s="118" t="s">
        <v>295</v>
      </c>
      <c r="G3" s="117" t="s">
        <v>118</v>
      </c>
      <c r="H3" s="67" t="s">
        <v>26</v>
      </c>
      <c r="I3" s="69" t="s">
        <v>8</v>
      </c>
      <c r="J3" s="118" t="s">
        <v>294</v>
      </c>
      <c r="K3" s="117" t="s">
        <v>25</v>
      </c>
      <c r="L3" s="67" t="s">
        <v>26</v>
      </c>
      <c r="M3" s="69" t="s">
        <v>8</v>
      </c>
      <c r="N3" s="118" t="s">
        <v>294</v>
      </c>
    </row>
    <row r="4" spans="2:14" s="193" customFormat="1" ht="15" thickBot="1">
      <c r="B4" s="194" t="s">
        <v>977</v>
      </c>
      <c r="C4" s="195">
        <v>2564.6761026283079</v>
      </c>
      <c r="D4" s="195">
        <v>995.05719950413004</v>
      </c>
      <c r="E4" s="197">
        <v>0.61201447680493271</v>
      </c>
      <c r="F4" s="192" t="s">
        <v>975</v>
      </c>
      <c r="G4" s="198">
        <v>7901.7493080451932</v>
      </c>
      <c r="H4" s="198">
        <v>2794.00668957073</v>
      </c>
      <c r="I4" s="201">
        <v>0.64640656383188433</v>
      </c>
      <c r="J4" s="192" t="s">
        <v>975</v>
      </c>
      <c r="K4" s="198">
        <v>5788.5136996796346</v>
      </c>
      <c r="L4" s="198">
        <v>3120.4633184053532</v>
      </c>
      <c r="M4" s="201">
        <v>0.46092149378897462</v>
      </c>
      <c r="N4" s="192" t="s">
        <v>975</v>
      </c>
    </row>
    <row r="5" spans="2:14" s="193" customFormat="1" ht="15" thickBot="1">
      <c r="B5" s="194" t="s">
        <v>978</v>
      </c>
      <c r="C5" s="195">
        <v>1121.4309080460014</v>
      </c>
      <c r="D5" s="195">
        <v>200.15067010954149</v>
      </c>
      <c r="E5" s="197">
        <v>0.82152206732175137</v>
      </c>
      <c r="F5" s="192"/>
      <c r="G5" s="199">
        <v>1177.9267176324172</v>
      </c>
      <c r="H5" s="200">
        <v>77.106637348980854</v>
      </c>
      <c r="I5" s="201">
        <v>0.93454037828094949</v>
      </c>
      <c r="J5" s="192"/>
      <c r="K5" s="202">
        <v>2050.193571256948</v>
      </c>
      <c r="L5" s="200">
        <v>525.31677676527124</v>
      </c>
      <c r="M5" s="201">
        <v>0.74377210809260019</v>
      </c>
      <c r="N5" s="192"/>
    </row>
    <row r="6" spans="2:14" s="193" customFormat="1" ht="15" thickBot="1">
      <c r="B6" s="196" t="s">
        <v>979</v>
      </c>
      <c r="C6" s="195">
        <v>1119.0858896453483</v>
      </c>
      <c r="D6" s="195">
        <v>471.16502545032398</v>
      </c>
      <c r="E6" s="197">
        <v>0.5789733122274987</v>
      </c>
      <c r="F6" s="192"/>
      <c r="G6" s="200">
        <v>4144.3439530594997</v>
      </c>
      <c r="H6" s="200">
        <v>1812.3138236733444</v>
      </c>
      <c r="I6" s="201">
        <v>0.562701878946261</v>
      </c>
      <c r="J6" s="192"/>
      <c r="K6" s="202">
        <v>1594.210302920719</v>
      </c>
      <c r="L6" s="200">
        <v>788.73527966261338</v>
      </c>
      <c r="M6" s="201">
        <v>0.50525016792477873</v>
      </c>
      <c r="N6" s="192"/>
    </row>
    <row r="7" spans="2:14" ht="15" thickBot="1">
      <c r="B7" s="194" t="s">
        <v>980</v>
      </c>
      <c r="C7" s="195">
        <v>130.80101499999998</v>
      </c>
      <c r="D7" s="195">
        <v>73.776102967644832</v>
      </c>
      <c r="E7" s="197">
        <v>0.43596689240030095</v>
      </c>
      <c r="F7" s="119"/>
      <c r="G7" s="200">
        <v>2506.621358264571</v>
      </c>
      <c r="H7" s="200">
        <v>976.42507999370775</v>
      </c>
      <c r="I7" s="201">
        <v>0.61046167711994448</v>
      </c>
      <c r="J7" s="119"/>
      <c r="K7" s="202">
        <v>127.27890999999997</v>
      </c>
      <c r="L7" s="200">
        <v>28.80706273669924</v>
      </c>
      <c r="M7" s="201">
        <v>0.77366978758146776</v>
      </c>
      <c r="N7" s="119"/>
    </row>
    <row r="8" spans="2:14" ht="15" thickBot="1">
      <c r="B8" s="194" t="s">
        <v>981</v>
      </c>
      <c r="C8" s="195">
        <v>195.54515751327432</v>
      </c>
      <c r="D8" s="195">
        <v>96.466697696121969</v>
      </c>
      <c r="E8" s="197">
        <v>0.50667815596725552</v>
      </c>
      <c r="F8" s="119"/>
      <c r="G8" s="200">
        <v>770.93206580503113</v>
      </c>
      <c r="H8" s="200">
        <v>451.14587860238322</v>
      </c>
      <c r="I8" s="201">
        <v>0.41480462596755174</v>
      </c>
      <c r="J8" s="119"/>
      <c r="K8" s="202">
        <v>116.93575208871204</v>
      </c>
      <c r="L8" s="200">
        <v>21.696222415567352</v>
      </c>
      <c r="M8" s="201">
        <v>0.81446031664372631</v>
      </c>
      <c r="N8" s="119"/>
    </row>
    <row r="9" spans="2:14" ht="15" thickBot="1">
      <c r="B9" s="194" t="s">
        <v>982</v>
      </c>
      <c r="C9" s="195">
        <v>58.004423999999986</v>
      </c>
      <c r="D9" s="195">
        <v>10.173364755469981</v>
      </c>
      <c r="E9" s="197">
        <v>0.82461053737090839</v>
      </c>
      <c r="F9" s="119"/>
      <c r="G9" s="198">
        <v>10.947991929203539</v>
      </c>
      <c r="H9" s="198">
        <v>1.9954096372805663</v>
      </c>
      <c r="I9" s="201">
        <v>0.81773738506713245</v>
      </c>
      <c r="J9" s="119"/>
      <c r="K9" s="198">
        <v>0.302564</v>
      </c>
      <c r="L9" s="198">
        <v>5.1757878569103237E-2</v>
      </c>
      <c r="M9" s="201">
        <v>0.82893576708034256</v>
      </c>
      <c r="N9" s="119"/>
    </row>
    <row r="10" spans="2:14" ht="15" thickBot="1">
      <c r="B10" s="194" t="s">
        <v>376</v>
      </c>
      <c r="C10" s="195">
        <v>39.017487814159367</v>
      </c>
      <c r="D10" s="195">
        <v>23.692058047335724</v>
      </c>
      <c r="E10" s="197">
        <v>0.39278361128268424</v>
      </c>
      <c r="F10" s="119"/>
      <c r="G10" s="200">
        <v>365.77674653433206</v>
      </c>
      <c r="H10" s="200">
        <v>112.92084806517717</v>
      </c>
      <c r="I10" s="201">
        <v>0.69128478194668852</v>
      </c>
      <c r="J10" s="119"/>
      <c r="K10" s="202">
        <v>608.4255371957878</v>
      </c>
      <c r="L10" s="200">
        <v>412.32142172710775</v>
      </c>
      <c r="M10" s="201">
        <v>0.32231407703975923</v>
      </c>
      <c r="N10" s="119"/>
    </row>
    <row r="11" spans="2:14" ht="15" thickBot="1">
      <c r="B11" s="123" t="s">
        <v>28</v>
      </c>
      <c r="C11" s="120">
        <f>SUM(C4:C10)</f>
        <v>5228.5609846470916</v>
      </c>
      <c r="D11" s="121">
        <f>SUM(D4:D10)</f>
        <v>1870.4811185305682</v>
      </c>
      <c r="E11" s="197">
        <v>0.64225699498906796</v>
      </c>
      <c r="F11" s="122"/>
      <c r="G11" s="120">
        <f>SUM(G4:G10)</f>
        <v>16878.298141270247</v>
      </c>
      <c r="H11" s="121">
        <f>SUM(H4:H10)</f>
        <v>6225.914366891604</v>
      </c>
      <c r="I11" s="201">
        <v>0.63112902054572628</v>
      </c>
      <c r="J11" s="122"/>
      <c r="K11" s="120">
        <f>SUM(K4:K10)</f>
        <v>10285.860337141799</v>
      </c>
      <c r="L11" s="121">
        <f>SUM(L4:L10)</f>
        <v>4897.3918395911824</v>
      </c>
      <c r="M11" s="201">
        <v>0.52387144302291255</v>
      </c>
      <c r="N11" s="122"/>
    </row>
    <row r="13" spans="2:14">
      <c r="B13" s="246" t="s">
        <v>223</v>
      </c>
      <c r="C13" s="246"/>
      <c r="D13" s="246"/>
      <c r="E13" s="246"/>
      <c r="F13" s="246"/>
      <c r="G13" s="246"/>
      <c r="H13" s="246"/>
      <c r="I13" s="246"/>
      <c r="J13" s="246"/>
      <c r="K13" s="246"/>
      <c r="L13" s="246"/>
      <c r="M13" s="246"/>
      <c r="N13" s="246"/>
    </row>
    <row r="14" spans="2:14">
      <c r="B14" s="231" t="s">
        <v>145</v>
      </c>
      <c r="C14" s="239" t="str">
        <f>C2</f>
        <v>2020年1-6月</v>
      </c>
      <c r="D14" s="241"/>
      <c r="E14" s="241"/>
      <c r="F14" s="240"/>
      <c r="G14" s="239" t="str">
        <f>G2</f>
        <v>2019年</v>
      </c>
      <c r="H14" s="241"/>
      <c r="I14" s="241"/>
      <c r="J14" s="240"/>
      <c r="K14" s="239" t="str">
        <f>K2</f>
        <v>2018年</v>
      </c>
      <c r="L14" s="241"/>
      <c r="M14" s="241"/>
      <c r="N14" s="240"/>
    </row>
    <row r="15" spans="2:14">
      <c r="B15" s="232"/>
      <c r="C15" s="67" t="s">
        <v>25</v>
      </c>
      <c r="D15" s="67" t="s">
        <v>26</v>
      </c>
      <c r="E15" s="69" t="s">
        <v>8</v>
      </c>
      <c r="F15" s="69" t="s">
        <v>294</v>
      </c>
      <c r="G15" s="67" t="s">
        <v>25</v>
      </c>
      <c r="H15" s="67" t="s">
        <v>26</v>
      </c>
      <c r="I15" s="69" t="s">
        <v>8</v>
      </c>
      <c r="J15" s="69" t="s">
        <v>294</v>
      </c>
      <c r="K15" s="67" t="s">
        <v>25</v>
      </c>
      <c r="L15" s="67" t="s">
        <v>26</v>
      </c>
      <c r="M15" s="69" t="s">
        <v>8</v>
      </c>
      <c r="N15" s="69" t="s">
        <v>294</v>
      </c>
    </row>
    <row r="16" spans="2:14">
      <c r="B16" s="4" t="s">
        <v>30</v>
      </c>
      <c r="C16" s="203">
        <v>647.39156893738664</v>
      </c>
      <c r="D16" s="190" t="s">
        <v>975</v>
      </c>
      <c r="E16" s="190" t="s">
        <v>975</v>
      </c>
      <c r="F16" s="191" t="s">
        <v>975</v>
      </c>
      <c r="G16" s="203">
        <v>1495.4595539743195</v>
      </c>
      <c r="H16" s="190" t="s">
        <v>975</v>
      </c>
      <c r="I16" s="190" t="s">
        <v>975</v>
      </c>
      <c r="J16" s="190" t="s">
        <v>975</v>
      </c>
      <c r="K16" s="203">
        <v>642.0411885128209</v>
      </c>
      <c r="L16" s="190" t="s">
        <v>975</v>
      </c>
      <c r="M16" s="190" t="s">
        <v>975</v>
      </c>
      <c r="N16" s="190" t="s">
        <v>975</v>
      </c>
    </row>
    <row r="17" spans="2:14">
      <c r="B17" s="4" t="s">
        <v>31</v>
      </c>
      <c r="C17" s="203">
        <v>561.56549110151934</v>
      </c>
      <c r="D17" s="24"/>
      <c r="E17" s="71"/>
      <c r="F17" s="72"/>
      <c r="G17" s="203">
        <v>248.20361716237022</v>
      </c>
      <c r="H17" s="24"/>
      <c r="I17" s="71"/>
      <c r="J17" s="72"/>
      <c r="K17" s="203">
        <v>178.98774161567923</v>
      </c>
      <c r="L17" s="24"/>
      <c r="M17" s="71"/>
      <c r="N17" s="72"/>
    </row>
    <row r="18" spans="2:14">
      <c r="B18" s="4" t="s">
        <v>32</v>
      </c>
      <c r="C18" s="203">
        <v>1136.1080886303203</v>
      </c>
      <c r="D18" s="70"/>
      <c r="E18" s="71"/>
      <c r="F18" s="72"/>
      <c r="G18" s="203">
        <v>1366.9841949340866</v>
      </c>
      <c r="H18" s="70"/>
      <c r="I18" s="71"/>
      <c r="J18" s="72"/>
      <c r="K18" s="203">
        <v>548.20040481786089</v>
      </c>
      <c r="L18" s="70"/>
      <c r="M18" s="71"/>
      <c r="N18" s="72"/>
    </row>
    <row r="19" spans="2:14">
      <c r="B19" s="4" t="s">
        <v>33</v>
      </c>
      <c r="C19" s="203">
        <v>897.48339354867267</v>
      </c>
      <c r="D19" s="24"/>
      <c r="E19" s="71"/>
      <c r="F19" s="72"/>
      <c r="G19" s="203">
        <v>1022.665409313396</v>
      </c>
      <c r="H19" s="24"/>
      <c r="I19" s="71"/>
      <c r="J19" s="72"/>
      <c r="K19" s="203">
        <v>615.39441841615053</v>
      </c>
      <c r="L19" s="24"/>
      <c r="M19" s="71"/>
      <c r="N19" s="72"/>
    </row>
    <row r="20" spans="2:14">
      <c r="B20" s="4" t="s">
        <v>34</v>
      </c>
      <c r="C20" s="203">
        <v>1002.3880870707959</v>
      </c>
      <c r="D20" s="24"/>
      <c r="E20" s="71"/>
      <c r="F20" s="72"/>
      <c r="G20" s="203">
        <v>860.57920058376362</v>
      </c>
      <c r="H20" s="24"/>
      <c r="I20" s="71"/>
      <c r="J20" s="72"/>
      <c r="K20" s="203">
        <v>588.18593879310276</v>
      </c>
      <c r="L20" s="24"/>
      <c r="M20" s="71"/>
      <c r="N20" s="72"/>
    </row>
    <row r="21" spans="2:14">
      <c r="B21" s="4" t="s">
        <v>35</v>
      </c>
      <c r="C21" s="203">
        <v>983.62435535840541</v>
      </c>
      <c r="D21" s="70"/>
      <c r="E21" s="71"/>
      <c r="F21" s="72"/>
      <c r="G21" s="203">
        <v>897.43086400884818</v>
      </c>
      <c r="H21" s="70"/>
      <c r="I21" s="71"/>
      <c r="J21" s="72"/>
      <c r="K21" s="203">
        <v>618.12381051724117</v>
      </c>
      <c r="L21" s="70"/>
      <c r="M21" s="71"/>
      <c r="N21" s="72"/>
    </row>
    <row r="22" spans="2:14">
      <c r="B22" s="4" t="s">
        <v>36</v>
      </c>
      <c r="C22" s="24"/>
      <c r="D22" s="24"/>
      <c r="E22" s="71"/>
      <c r="F22" s="72"/>
      <c r="G22" s="203">
        <v>1243.8008010796473</v>
      </c>
      <c r="H22" s="24"/>
      <c r="I22" s="71"/>
      <c r="J22" s="72"/>
      <c r="K22" s="203">
        <v>714.93168174324353</v>
      </c>
      <c r="L22" s="24"/>
      <c r="M22" s="71"/>
      <c r="N22" s="72"/>
    </row>
    <row r="23" spans="2:14">
      <c r="B23" s="4" t="s">
        <v>37</v>
      </c>
      <c r="C23" s="24"/>
      <c r="D23" s="24"/>
      <c r="E23" s="71"/>
      <c r="F23" s="72"/>
      <c r="G23" s="203">
        <v>1372.5481605046521</v>
      </c>
      <c r="H23" s="24"/>
      <c r="I23" s="71"/>
      <c r="J23" s="72"/>
      <c r="K23" s="203">
        <v>1312.0892839310352</v>
      </c>
      <c r="L23" s="24"/>
      <c r="M23" s="71"/>
      <c r="N23" s="72"/>
    </row>
    <row r="24" spans="2:14">
      <c r="B24" s="4" t="s">
        <v>38</v>
      </c>
      <c r="C24" s="24"/>
      <c r="D24" s="24"/>
      <c r="E24" s="71"/>
      <c r="F24" s="72"/>
      <c r="G24" s="203">
        <v>1514.9110898141571</v>
      </c>
      <c r="H24" s="24"/>
      <c r="I24" s="71"/>
      <c r="J24" s="72"/>
      <c r="K24" s="203">
        <v>814.20021210344885</v>
      </c>
      <c r="L24" s="24"/>
      <c r="M24" s="71"/>
      <c r="N24" s="72"/>
    </row>
    <row r="25" spans="2:14">
      <c r="B25" s="4" t="s">
        <v>39</v>
      </c>
      <c r="C25" s="24"/>
      <c r="D25" s="24"/>
      <c r="E25" s="71"/>
      <c r="F25" s="72"/>
      <c r="G25" s="203">
        <v>1215.5068553805293</v>
      </c>
      <c r="H25" s="24"/>
      <c r="I25" s="71"/>
      <c r="J25" s="72"/>
      <c r="K25" s="203">
        <v>778.75014803448244</v>
      </c>
      <c r="L25" s="24"/>
      <c r="M25" s="71"/>
      <c r="N25" s="72"/>
    </row>
    <row r="26" spans="2:14">
      <c r="B26" s="4" t="s">
        <v>40</v>
      </c>
      <c r="C26" s="24"/>
      <c r="D26" s="24"/>
      <c r="E26" s="71"/>
      <c r="F26" s="72"/>
      <c r="G26" s="203">
        <v>2911.4397882733751</v>
      </c>
      <c r="H26" s="24"/>
      <c r="I26" s="71"/>
      <c r="J26" s="72"/>
      <c r="K26" s="203">
        <v>688.55992824137911</v>
      </c>
      <c r="L26" s="24"/>
      <c r="M26" s="71"/>
      <c r="N26" s="72"/>
    </row>
    <row r="27" spans="2:14">
      <c r="B27" s="4" t="s">
        <v>41</v>
      </c>
      <c r="C27" s="24"/>
      <c r="D27" s="24"/>
      <c r="E27" s="71"/>
      <c r="F27" s="72"/>
      <c r="G27" s="203">
        <v>2728.7673632409387</v>
      </c>
      <c r="H27" s="24"/>
      <c r="I27" s="71"/>
      <c r="J27" s="72"/>
      <c r="K27" s="203">
        <v>2786.3955804153579</v>
      </c>
      <c r="L27" s="24"/>
      <c r="M27" s="71"/>
      <c r="N27" s="72"/>
    </row>
    <row r="28" spans="2:14">
      <c r="B28" s="4" t="s">
        <v>28</v>
      </c>
      <c r="C28" s="24">
        <f>SUM(C16:C27)</f>
        <v>5228.5609846471007</v>
      </c>
      <c r="D28" s="24">
        <f>SUM(D16:D27)</f>
        <v>0</v>
      </c>
      <c r="E28" s="71"/>
      <c r="F28" s="72"/>
      <c r="G28" s="24">
        <f>SUM(G16:G27)</f>
        <v>16878.296898270084</v>
      </c>
      <c r="H28" s="24">
        <f>SUM(H16:H27)</f>
        <v>0</v>
      </c>
      <c r="I28" s="71"/>
      <c r="J28" s="72"/>
      <c r="K28" s="24">
        <f>SUM(K16:K27)</f>
        <v>10285.860337141803</v>
      </c>
      <c r="L28" s="24">
        <f>SUM(L16:L27)</f>
        <v>0</v>
      </c>
      <c r="M28" s="71"/>
      <c r="N28" s="72"/>
    </row>
    <row r="29" spans="2:14">
      <c r="K29" s="34">
        <f>K11-K28</f>
        <v>0</v>
      </c>
    </row>
    <row r="31" spans="2:14">
      <c r="B31" s="246" t="s">
        <v>976</v>
      </c>
      <c r="C31" s="246"/>
      <c r="D31" s="246"/>
      <c r="E31" s="246"/>
      <c r="F31" s="246"/>
      <c r="G31" s="246"/>
      <c r="H31" s="246"/>
      <c r="I31" s="246"/>
      <c r="J31" s="246"/>
      <c r="K31" s="246"/>
      <c r="L31" s="246"/>
      <c r="M31" s="246"/>
      <c r="N31" s="246"/>
    </row>
    <row r="32" spans="2:14">
      <c r="B32" s="58" t="s">
        <v>24</v>
      </c>
      <c r="C32" s="239" t="str">
        <f>C2</f>
        <v>2020年1-6月</v>
      </c>
      <c r="D32" s="241"/>
      <c r="E32" s="241"/>
      <c r="F32" s="240"/>
      <c r="G32" s="239" t="str">
        <f>G2</f>
        <v>2019年</v>
      </c>
      <c r="H32" s="241"/>
      <c r="I32" s="241"/>
      <c r="J32" s="240"/>
      <c r="K32" s="239" t="str">
        <f>K2</f>
        <v>2018年</v>
      </c>
      <c r="L32" s="241"/>
      <c r="M32" s="241"/>
      <c r="N32" s="240"/>
    </row>
    <row r="33" spans="2:14">
      <c r="B33" s="58" t="s">
        <v>29</v>
      </c>
      <c r="C33" s="67" t="s">
        <v>25</v>
      </c>
      <c r="D33" s="67" t="s">
        <v>26</v>
      </c>
      <c r="E33" s="69" t="s">
        <v>8</v>
      </c>
      <c r="F33" s="69" t="s">
        <v>294</v>
      </c>
      <c r="G33" s="67" t="s">
        <v>25</v>
      </c>
      <c r="H33" s="67" t="s">
        <v>26</v>
      </c>
      <c r="I33" s="69" t="s">
        <v>8</v>
      </c>
      <c r="J33" s="69" t="s">
        <v>294</v>
      </c>
      <c r="K33" s="67" t="s">
        <v>25</v>
      </c>
      <c r="L33" s="67" t="s">
        <v>26</v>
      </c>
      <c r="M33" s="69" t="s">
        <v>8</v>
      </c>
      <c r="N33" s="69" t="s">
        <v>294</v>
      </c>
    </row>
    <row r="34" spans="2:14">
      <c r="B34" s="4"/>
      <c r="C34" s="24"/>
      <c r="D34" s="24"/>
      <c r="E34" s="72"/>
      <c r="F34" s="72"/>
      <c r="G34" s="24"/>
      <c r="H34" s="24"/>
      <c r="I34" s="72"/>
      <c r="J34" s="72"/>
      <c r="K34" s="24"/>
      <c r="L34" s="24"/>
      <c r="M34" s="72"/>
      <c r="N34" s="72"/>
    </row>
    <row r="35" spans="2:14">
      <c r="B35" s="4"/>
      <c r="C35" s="24"/>
      <c r="D35" s="24"/>
      <c r="E35" s="72"/>
      <c r="F35" s="72"/>
      <c r="G35" s="24"/>
      <c r="H35" s="24"/>
      <c r="I35" s="72"/>
      <c r="J35" s="72"/>
      <c r="K35" s="24"/>
      <c r="L35" s="24"/>
      <c r="M35" s="72"/>
      <c r="N35" s="72"/>
    </row>
    <row r="36" spans="2:14">
      <c r="B36" s="4"/>
      <c r="C36" s="24"/>
      <c r="D36" s="24"/>
      <c r="E36" s="72"/>
      <c r="F36" s="72"/>
      <c r="G36" s="24"/>
      <c r="H36" s="24"/>
      <c r="I36" s="72"/>
      <c r="J36" s="72"/>
      <c r="K36" s="24"/>
      <c r="L36" s="24"/>
      <c r="M36" s="72"/>
      <c r="N36" s="72"/>
    </row>
    <row r="37" spans="2:14">
      <c r="B37" s="4"/>
      <c r="C37" s="24"/>
      <c r="D37" s="24"/>
      <c r="E37" s="72"/>
      <c r="F37" s="72"/>
      <c r="G37" s="24"/>
      <c r="H37" s="24"/>
      <c r="I37" s="72"/>
      <c r="J37" s="72"/>
      <c r="K37" s="24"/>
      <c r="L37" s="24"/>
      <c r="M37" s="72"/>
      <c r="N37" s="72"/>
    </row>
    <row r="38" spans="2:14">
      <c r="B38" s="4"/>
      <c r="C38" s="24"/>
      <c r="D38" s="24"/>
      <c r="E38" s="72"/>
      <c r="F38" s="72"/>
      <c r="G38" s="24"/>
      <c r="H38" s="24"/>
      <c r="I38" s="72"/>
      <c r="J38" s="72"/>
      <c r="K38" s="24"/>
      <c r="L38" s="24"/>
      <c r="M38" s="72"/>
      <c r="N38" s="72"/>
    </row>
    <row r="39" spans="2:14">
      <c r="B39" s="4"/>
      <c r="C39" s="24"/>
      <c r="D39" s="24"/>
      <c r="E39" s="72"/>
      <c r="F39" s="72"/>
      <c r="G39" s="24"/>
      <c r="H39" s="24"/>
      <c r="I39" s="72"/>
      <c r="J39" s="72"/>
      <c r="K39" s="24"/>
      <c r="L39" s="24"/>
      <c r="M39" s="72"/>
      <c r="N39" s="72"/>
    </row>
    <row r="40" spans="2:14">
      <c r="B40" s="4"/>
      <c r="C40" s="24"/>
      <c r="D40" s="24"/>
      <c r="E40" s="72"/>
      <c r="F40" s="72"/>
      <c r="G40" s="24"/>
      <c r="H40" s="24"/>
      <c r="I40" s="72"/>
      <c r="J40" s="72"/>
      <c r="K40" s="24"/>
      <c r="L40" s="24"/>
      <c r="M40" s="72"/>
      <c r="N40" s="72"/>
    </row>
    <row r="41" spans="2:14">
      <c r="B41" s="4" t="s">
        <v>28</v>
      </c>
      <c r="C41" s="24"/>
      <c r="D41" s="24"/>
      <c r="E41" s="72"/>
      <c r="F41" s="72"/>
      <c r="G41" s="24"/>
      <c r="H41" s="24"/>
      <c r="I41" s="72"/>
      <c r="J41" s="72"/>
      <c r="K41" s="24"/>
      <c r="L41" s="24"/>
      <c r="M41" s="72"/>
      <c r="N41" s="72"/>
    </row>
  </sheetData>
  <mergeCells count="14">
    <mergeCell ref="K2:N2"/>
    <mergeCell ref="B1:N1"/>
    <mergeCell ref="B31:N31"/>
    <mergeCell ref="G2:J2"/>
    <mergeCell ref="B13:N13"/>
    <mergeCell ref="B14:B15"/>
    <mergeCell ref="B2:B3"/>
    <mergeCell ref="C2:F2"/>
    <mergeCell ref="C14:F14"/>
    <mergeCell ref="C32:F32"/>
    <mergeCell ref="G32:J32"/>
    <mergeCell ref="G14:J14"/>
    <mergeCell ref="K32:N32"/>
    <mergeCell ref="K14:N14"/>
  </mergeCells>
  <phoneticPr fontId="6" type="noConversion"/>
  <pageMargins left="0.69930555555555596" right="0.69930555555555596"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14"/>
  <sheetViews>
    <sheetView zoomScale="90" zoomScaleNormal="90" workbookViewId="0">
      <selection activeCell="K12" sqref="K12"/>
    </sheetView>
  </sheetViews>
  <sheetFormatPr defaultColWidth="9" defaultRowHeight="14.4"/>
  <cols>
    <col min="1" max="1" width="2.09765625" style="8" customWidth="1"/>
    <col min="2" max="2" width="13" style="8" customWidth="1"/>
    <col min="3" max="3" width="15.09765625" style="8" customWidth="1"/>
    <col min="4" max="4" width="13.59765625" style="8" customWidth="1"/>
    <col min="5" max="5" width="15.09765625" style="8" customWidth="1"/>
    <col min="6" max="6" width="13.59765625" style="8" customWidth="1"/>
    <col min="7" max="7" width="15.09765625" style="8" customWidth="1"/>
    <col min="8" max="8" width="13.59765625" style="8" customWidth="1"/>
    <col min="9" max="16384" width="9" style="8"/>
  </cols>
  <sheetData>
    <row r="2" spans="2:8">
      <c r="B2" s="250" t="s">
        <v>3</v>
      </c>
      <c r="C2" s="230" t="str">
        <f>'收入、毛利率构成表'!C2</f>
        <v>2020年1-6月</v>
      </c>
      <c r="D2" s="249"/>
      <c r="E2" s="230" t="str">
        <f>'收入、毛利率构成表'!G2</f>
        <v>2019年</v>
      </c>
      <c r="F2" s="249"/>
      <c r="G2" s="230" t="str">
        <f>'收入、毛利率构成表'!K2</f>
        <v>2018年</v>
      </c>
      <c r="H2" s="249"/>
    </row>
    <row r="3" spans="2:8">
      <c r="B3" s="249"/>
      <c r="C3" s="62" t="s">
        <v>44</v>
      </c>
      <c r="D3" s="63" t="s">
        <v>27</v>
      </c>
      <c r="E3" s="62" t="s">
        <v>44</v>
      </c>
      <c r="F3" s="63" t="s">
        <v>27</v>
      </c>
      <c r="G3" s="62" t="s">
        <v>44</v>
      </c>
      <c r="H3" s="63" t="s">
        <v>27</v>
      </c>
    </row>
    <row r="4" spans="2:8" ht="13.5">
      <c r="B4" s="204" t="s">
        <v>983</v>
      </c>
      <c r="C4" s="205">
        <v>1514.2946319999999</v>
      </c>
      <c r="D4" s="206">
        <v>0.80957351539014522</v>
      </c>
      <c r="E4" s="205">
        <v>4465.7655930000001</v>
      </c>
      <c r="F4" s="207">
        <v>0.71728749966866079</v>
      </c>
      <c r="G4" s="205">
        <v>4479.7631940000001</v>
      </c>
      <c r="H4" s="206">
        <v>0.91472520369470567</v>
      </c>
    </row>
    <row r="5" spans="2:8" ht="13.5">
      <c r="B5" s="204" t="s">
        <v>984</v>
      </c>
      <c r="C5" s="205">
        <v>224.50532000000001</v>
      </c>
      <c r="D5" s="206">
        <v>0.12002522976399847</v>
      </c>
      <c r="E5" s="205">
        <v>1754.9527390000001</v>
      </c>
      <c r="F5" s="207">
        <v>0.28187902745435878</v>
      </c>
      <c r="G5" s="205">
        <v>383.202584</v>
      </c>
      <c r="H5" s="206">
        <v>7.8246337256222737E-2</v>
      </c>
    </row>
    <row r="6" spans="2:8" ht="13.5">
      <c r="B6" s="204" t="s">
        <v>985</v>
      </c>
      <c r="C6" s="205">
        <v>110.37735600000001</v>
      </c>
      <c r="D6" s="206">
        <v>5.901003822378309E-2</v>
      </c>
      <c r="E6" s="205">
        <v>4.0460059999999993</v>
      </c>
      <c r="F6" s="207">
        <v>6.4986606819074008E-4</v>
      </c>
      <c r="G6" s="205">
        <v>34.421083000000003</v>
      </c>
      <c r="H6" s="206">
        <v>7.0284590490716399E-3</v>
      </c>
    </row>
    <row r="7" spans="2:8" ht="13.5">
      <c r="B7" s="204" t="s">
        <v>986</v>
      </c>
      <c r="C7" s="205">
        <v>21.307092999999998</v>
      </c>
      <c r="D7" s="206">
        <v>1.139121662207329E-2</v>
      </c>
      <c r="E7" s="205">
        <v>0.802199</v>
      </c>
      <c r="F7" s="207">
        <v>1.2884852618521664E-4</v>
      </c>
      <c r="G7" s="205">
        <v>0</v>
      </c>
      <c r="H7" s="206">
        <v>0</v>
      </c>
    </row>
    <row r="8" spans="2:8" ht="13.5">
      <c r="B8" s="204" t="s">
        <v>376</v>
      </c>
      <c r="C8" s="14"/>
      <c r="D8" s="206">
        <v>0</v>
      </c>
      <c r="E8" s="205">
        <v>0.34092</v>
      </c>
      <c r="F8" s="207">
        <v>5.4758282604520887E-5</v>
      </c>
      <c r="G8" s="205">
        <v>0</v>
      </c>
      <c r="H8" s="206">
        <v>0</v>
      </c>
    </row>
    <row r="9" spans="2:8">
      <c r="B9" s="10"/>
      <c r="C9" s="14"/>
      <c r="D9" s="15"/>
      <c r="E9" s="14"/>
      <c r="F9" s="15"/>
      <c r="G9" s="14"/>
      <c r="H9" s="15"/>
    </row>
    <row r="10" spans="2:8">
      <c r="B10" s="10"/>
      <c r="C10" s="14"/>
      <c r="D10" s="15"/>
      <c r="E10" s="14"/>
      <c r="F10" s="15"/>
      <c r="G10" s="14"/>
      <c r="H10" s="15"/>
    </row>
    <row r="11" spans="2:8">
      <c r="B11" s="10"/>
      <c r="C11" s="14"/>
      <c r="D11" s="15"/>
      <c r="E11" s="14"/>
      <c r="F11" s="15"/>
      <c r="G11" s="14"/>
      <c r="H11" s="15"/>
    </row>
    <row r="12" spans="2:8">
      <c r="B12" s="10" t="s">
        <v>28</v>
      </c>
      <c r="C12" s="18">
        <f t="shared" ref="C12:H12" si="0">SUM(C4:C11)</f>
        <v>1870.4844009999997</v>
      </c>
      <c r="D12" s="15">
        <f t="shared" si="0"/>
        <v>1</v>
      </c>
      <c r="E12" s="18">
        <f t="shared" si="0"/>
        <v>6225.9074569999993</v>
      </c>
      <c r="F12" s="15">
        <f t="shared" si="0"/>
        <v>1</v>
      </c>
      <c r="G12" s="18">
        <f t="shared" si="0"/>
        <v>4897.386861</v>
      </c>
      <c r="H12" s="15">
        <f t="shared" si="0"/>
        <v>1</v>
      </c>
    </row>
    <row r="13" spans="2:8">
      <c r="C13" s="16"/>
      <c r="D13" s="17"/>
      <c r="E13" s="16"/>
      <c r="F13" s="17"/>
      <c r="G13" s="16"/>
      <c r="H13" s="17"/>
    </row>
    <row r="14" spans="2:8">
      <c r="C14" s="16"/>
      <c r="D14" s="17"/>
      <c r="E14" s="16"/>
      <c r="F14" s="17"/>
      <c r="G14" s="16"/>
      <c r="H14" s="17"/>
    </row>
  </sheetData>
  <mergeCells count="4">
    <mergeCell ref="G2:H2"/>
    <mergeCell ref="B2:B3"/>
    <mergeCell ref="E2:F2"/>
    <mergeCell ref="C2:D2"/>
  </mergeCells>
  <phoneticPr fontId="6" type="noConversion"/>
  <pageMargins left="0.69930555555555596" right="0.69930555555555596"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R34"/>
  <sheetViews>
    <sheetView topLeftCell="A19" zoomScale="90" zoomScaleNormal="90" workbookViewId="0">
      <selection activeCell="D38" sqref="D38"/>
    </sheetView>
  </sheetViews>
  <sheetFormatPr defaultColWidth="9" defaultRowHeight="14.4"/>
  <cols>
    <col min="1" max="1" width="2.5" style="8" customWidth="1"/>
    <col min="2" max="2" width="7.19921875" style="8" customWidth="1"/>
    <col min="3" max="3" width="39.5" style="216" customWidth="1"/>
    <col min="4" max="4" width="16.09765625" style="8" bestFit="1" customWidth="1"/>
    <col min="5" max="5" width="12.59765625" style="8" customWidth="1"/>
    <col min="6" max="6" width="12.8984375" style="8" customWidth="1"/>
    <col min="7" max="7" width="10.3984375" style="8" customWidth="1"/>
    <col min="8" max="8" width="46.3984375" style="8" customWidth="1"/>
    <col min="9" max="9" width="16.09765625" style="8" bestFit="1" customWidth="1"/>
    <col min="10" max="10" width="12.59765625" style="8" customWidth="1"/>
    <col min="11" max="11" width="25.09765625" style="8" customWidth="1"/>
    <col min="12" max="12" width="9" style="8" customWidth="1"/>
    <col min="13" max="13" width="48.19921875" style="8" customWidth="1"/>
    <col min="14" max="14" width="16.09765625" style="8" bestFit="1" customWidth="1"/>
    <col min="15" max="15" width="9" style="8"/>
    <col min="16" max="16" width="18.69921875" style="8" customWidth="1"/>
    <col min="17" max="16384" width="9" style="8"/>
  </cols>
  <sheetData>
    <row r="1" spans="2:18">
      <c r="B1" s="246" t="s">
        <v>222</v>
      </c>
      <c r="C1" s="246"/>
      <c r="D1" s="246"/>
      <c r="E1" s="246"/>
      <c r="F1" s="246"/>
      <c r="G1" s="246"/>
      <c r="H1" s="246"/>
      <c r="I1" s="246"/>
      <c r="J1" s="246"/>
      <c r="K1" s="246"/>
      <c r="L1" s="246"/>
      <c r="M1" s="246"/>
      <c r="N1" s="246"/>
      <c r="O1" s="246"/>
      <c r="P1" s="246"/>
      <c r="Q1" s="33"/>
      <c r="R1" s="33"/>
    </row>
    <row r="2" spans="2:18">
      <c r="B2" s="251" t="s">
        <v>42</v>
      </c>
      <c r="C2" s="239" t="str">
        <f>'收入、毛利率构成表'!C2</f>
        <v>2020年1-6月</v>
      </c>
      <c r="D2" s="241"/>
      <c r="E2" s="241"/>
      <c r="F2" s="241"/>
      <c r="G2" s="240"/>
      <c r="H2" s="239" t="str">
        <f>'收入、毛利率构成表'!G2</f>
        <v>2019年</v>
      </c>
      <c r="I2" s="241"/>
      <c r="J2" s="241"/>
      <c r="K2" s="241"/>
      <c r="L2" s="240"/>
      <c r="M2" s="239" t="str">
        <f>'收入、毛利率构成表'!K2</f>
        <v>2018年</v>
      </c>
      <c r="N2" s="241"/>
      <c r="O2" s="241"/>
      <c r="P2" s="241"/>
      <c r="Q2" s="240"/>
    </row>
    <row r="3" spans="2:18">
      <c r="B3" s="230"/>
      <c r="C3" s="188" t="s">
        <v>43</v>
      </c>
      <c r="D3" s="58" t="s">
        <v>322</v>
      </c>
      <c r="E3" s="58" t="s">
        <v>330</v>
      </c>
      <c r="F3" s="58" t="s">
        <v>332</v>
      </c>
      <c r="G3" s="58" t="s">
        <v>296</v>
      </c>
      <c r="H3" s="58" t="s">
        <v>43</v>
      </c>
      <c r="I3" s="58" t="s">
        <v>329</v>
      </c>
      <c r="J3" s="58" t="s">
        <v>26</v>
      </c>
      <c r="K3" s="58" t="s">
        <v>331</v>
      </c>
      <c r="L3" s="58" t="s">
        <v>296</v>
      </c>
      <c r="M3" s="58" t="s">
        <v>43</v>
      </c>
      <c r="N3" s="58" t="s">
        <v>329</v>
      </c>
      <c r="O3" s="58" t="s">
        <v>26</v>
      </c>
      <c r="P3" s="58" t="s">
        <v>331</v>
      </c>
      <c r="Q3" s="58" t="s">
        <v>296</v>
      </c>
      <c r="R3" s="36"/>
    </row>
    <row r="4" spans="2:18">
      <c r="B4" s="11">
        <v>1</v>
      </c>
      <c r="C4" s="213" t="s">
        <v>392</v>
      </c>
      <c r="D4" s="209">
        <v>595.39527800000008</v>
      </c>
      <c r="E4" s="108"/>
      <c r="F4" s="211" t="s">
        <v>988</v>
      </c>
      <c r="G4" s="10" t="s">
        <v>994</v>
      </c>
      <c r="H4" s="208" t="s">
        <v>395</v>
      </c>
      <c r="I4" s="210">
        <v>1626.1066462371075</v>
      </c>
      <c r="J4" s="108"/>
      <c r="K4" s="212" t="s">
        <v>992</v>
      </c>
      <c r="L4" s="10" t="s">
        <v>994</v>
      </c>
      <c r="M4" s="208" t="s">
        <v>392</v>
      </c>
      <c r="N4" s="210">
        <v>1232.5451724871791</v>
      </c>
      <c r="O4" s="108"/>
      <c r="P4" s="212" t="s">
        <v>989</v>
      </c>
      <c r="Q4" s="10" t="s">
        <v>994</v>
      </c>
      <c r="R4" s="37"/>
    </row>
    <row r="5" spans="2:18">
      <c r="B5" s="11">
        <v>2</v>
      </c>
      <c r="C5" s="213" t="s">
        <v>389</v>
      </c>
      <c r="D5" s="209">
        <v>473.07505224778765</v>
      </c>
      <c r="E5" s="108"/>
      <c r="F5" s="211" t="s">
        <v>989</v>
      </c>
      <c r="G5" s="10" t="s">
        <v>994</v>
      </c>
      <c r="H5" s="208" t="s">
        <v>987</v>
      </c>
      <c r="I5" s="210">
        <v>1452.0773257750991</v>
      </c>
      <c r="J5" s="108"/>
      <c r="K5" s="212" t="s">
        <v>989</v>
      </c>
      <c r="L5" s="10" t="s">
        <v>994</v>
      </c>
      <c r="M5" s="208" t="s">
        <v>394</v>
      </c>
      <c r="N5" s="210">
        <v>1160.9649159999999</v>
      </c>
      <c r="O5" s="108"/>
      <c r="P5" s="212" t="s">
        <v>1003</v>
      </c>
      <c r="Q5" s="10" t="s">
        <v>994</v>
      </c>
      <c r="R5" s="37"/>
    </row>
    <row r="6" spans="2:18">
      <c r="B6" s="11">
        <v>3</v>
      </c>
      <c r="C6" s="214" t="s">
        <v>390</v>
      </c>
      <c r="D6" s="210">
        <v>379.80046699999997</v>
      </c>
      <c r="E6" s="108"/>
      <c r="F6" s="212" t="s">
        <v>990</v>
      </c>
      <c r="G6" s="10" t="s">
        <v>994</v>
      </c>
      <c r="H6" s="208" t="s">
        <v>392</v>
      </c>
      <c r="I6" s="210">
        <v>1411.7835341650909</v>
      </c>
      <c r="J6" s="108"/>
      <c r="K6" s="212" t="s">
        <v>989</v>
      </c>
      <c r="L6" s="10" t="s">
        <v>994</v>
      </c>
      <c r="M6" s="208" t="s">
        <v>389</v>
      </c>
      <c r="N6" s="210">
        <v>744.62147324049522</v>
      </c>
      <c r="O6" s="108"/>
      <c r="P6" s="212" t="s">
        <v>989</v>
      </c>
      <c r="Q6" s="10" t="s">
        <v>994</v>
      </c>
      <c r="R6" s="37"/>
    </row>
    <row r="7" spans="2:18">
      <c r="B7" s="11">
        <v>4</v>
      </c>
      <c r="C7" s="214" t="s">
        <v>397</v>
      </c>
      <c r="D7" s="210">
        <v>318.81329289797958</v>
      </c>
      <c r="E7" s="108"/>
      <c r="F7" s="212" t="s">
        <v>991</v>
      </c>
      <c r="G7" s="10" t="s">
        <v>994</v>
      </c>
      <c r="H7" s="208" t="s">
        <v>389</v>
      </c>
      <c r="I7" s="210">
        <v>983.80253551632632</v>
      </c>
      <c r="J7" s="108"/>
      <c r="K7" s="212" t="s">
        <v>989</v>
      </c>
      <c r="L7" s="10" t="s">
        <v>994</v>
      </c>
      <c r="M7" s="208" t="s">
        <v>401</v>
      </c>
      <c r="N7" s="210">
        <v>607.84611787179472</v>
      </c>
      <c r="O7" s="108"/>
      <c r="P7" s="212" t="s">
        <v>1004</v>
      </c>
      <c r="Q7" s="10" t="s">
        <v>994</v>
      </c>
      <c r="R7" s="37"/>
    </row>
    <row r="8" spans="2:18">
      <c r="B8" s="11">
        <v>5</v>
      </c>
      <c r="C8" s="214" t="s">
        <v>395</v>
      </c>
      <c r="D8" s="210">
        <v>283.40542783185828</v>
      </c>
      <c r="E8" s="108"/>
      <c r="F8" s="212" t="s">
        <v>992</v>
      </c>
      <c r="G8" s="10" t="s">
        <v>994</v>
      </c>
      <c r="H8" s="208" t="s">
        <v>393</v>
      </c>
      <c r="I8" s="210">
        <v>683.23010078181267</v>
      </c>
      <c r="J8" s="108"/>
      <c r="K8" s="212" t="s">
        <v>993</v>
      </c>
      <c r="L8" s="10" t="s">
        <v>994</v>
      </c>
      <c r="M8" s="208" t="s">
        <v>1000</v>
      </c>
      <c r="N8" s="210">
        <v>598.73529376991178</v>
      </c>
      <c r="O8" s="108"/>
      <c r="P8" s="212" t="s">
        <v>991</v>
      </c>
      <c r="Q8" s="10" t="s">
        <v>994</v>
      </c>
      <c r="R8" s="37"/>
    </row>
    <row r="9" spans="2:18">
      <c r="B9" s="11">
        <v>6</v>
      </c>
      <c r="C9" s="214" t="s">
        <v>398</v>
      </c>
      <c r="D9" s="210">
        <v>240.19911500000003</v>
      </c>
      <c r="E9" s="108"/>
      <c r="F9" s="212" t="s">
        <v>991</v>
      </c>
      <c r="G9" s="10" t="s">
        <v>994</v>
      </c>
      <c r="H9" s="208" t="s">
        <v>388</v>
      </c>
      <c r="I9" s="210">
        <v>515.29203460176984</v>
      </c>
      <c r="J9" s="108"/>
      <c r="K9" s="212" t="s">
        <v>997</v>
      </c>
      <c r="L9" s="10" t="s">
        <v>994</v>
      </c>
      <c r="M9" s="208" t="s">
        <v>995</v>
      </c>
      <c r="N9" s="210">
        <v>345.68169599999999</v>
      </c>
      <c r="O9" s="108"/>
      <c r="P9" s="212" t="s">
        <v>1005</v>
      </c>
      <c r="Q9" s="10" t="s">
        <v>994</v>
      </c>
      <c r="R9" s="37"/>
    </row>
    <row r="10" spans="2:18">
      <c r="B10" s="11">
        <v>7</v>
      </c>
      <c r="C10" s="214" t="s">
        <v>987</v>
      </c>
      <c r="D10" s="210">
        <v>222.04049226548676</v>
      </c>
      <c r="E10" s="108"/>
      <c r="F10" s="212" t="s">
        <v>989</v>
      </c>
      <c r="G10" s="10" t="s">
        <v>994</v>
      </c>
      <c r="H10" s="208" t="s">
        <v>404</v>
      </c>
      <c r="I10" s="210">
        <v>504.91605006896543</v>
      </c>
      <c r="J10" s="108"/>
      <c r="K10" s="212" t="s">
        <v>989</v>
      </c>
      <c r="L10" s="10" t="s">
        <v>994</v>
      </c>
      <c r="M10" s="208" t="s">
        <v>1001</v>
      </c>
      <c r="N10" s="210">
        <v>286.5951248034188</v>
      </c>
      <c r="O10" s="108"/>
      <c r="P10" s="212" t="s">
        <v>989</v>
      </c>
      <c r="Q10" s="10" t="s">
        <v>994</v>
      </c>
      <c r="R10" s="37"/>
    </row>
    <row r="11" spans="2:18">
      <c r="B11" s="11">
        <v>8</v>
      </c>
      <c r="C11" s="214" t="s">
        <v>393</v>
      </c>
      <c r="D11" s="210">
        <v>194.07991051327431</v>
      </c>
      <c r="E11" s="108"/>
      <c r="F11" s="212" t="s">
        <v>993</v>
      </c>
      <c r="G11" s="10" t="s">
        <v>994</v>
      </c>
      <c r="H11" s="208" t="s">
        <v>399</v>
      </c>
      <c r="I11" s="210">
        <v>486.74809150442502</v>
      </c>
      <c r="J11" s="108"/>
      <c r="K11" s="212" t="s">
        <v>989</v>
      </c>
      <c r="L11" s="10" t="s">
        <v>994</v>
      </c>
      <c r="M11" s="208" t="s">
        <v>1002</v>
      </c>
      <c r="N11" s="210">
        <v>243.28407803418784</v>
      </c>
      <c r="O11" s="108"/>
      <c r="P11" s="212" t="s">
        <v>989</v>
      </c>
      <c r="Q11" s="10" t="s">
        <v>994</v>
      </c>
      <c r="R11" s="37"/>
    </row>
    <row r="12" spans="2:18">
      <c r="B12" s="11">
        <v>9</v>
      </c>
      <c r="C12" s="214" t="s">
        <v>401</v>
      </c>
      <c r="D12" s="210">
        <v>148.63893800000002</v>
      </c>
      <c r="E12" s="108"/>
      <c r="F12" s="212" t="s">
        <v>989</v>
      </c>
      <c r="G12" s="10" t="s">
        <v>994</v>
      </c>
      <c r="H12" s="208" t="s">
        <v>995</v>
      </c>
      <c r="I12" s="210">
        <v>468.50396774336286</v>
      </c>
      <c r="J12" s="108"/>
      <c r="K12" s="212" t="s">
        <v>998</v>
      </c>
      <c r="L12" s="10" t="s">
        <v>994</v>
      </c>
      <c r="M12" s="204" t="s">
        <v>987</v>
      </c>
      <c r="N12" s="209">
        <v>238.35461420689654</v>
      </c>
      <c r="O12" s="108"/>
      <c r="P12" s="211" t="s">
        <v>1004</v>
      </c>
      <c r="Q12" s="10" t="s">
        <v>994</v>
      </c>
      <c r="R12" s="37"/>
    </row>
    <row r="13" spans="2:18">
      <c r="B13" s="11">
        <v>10</v>
      </c>
      <c r="C13" s="214" t="s">
        <v>399</v>
      </c>
      <c r="D13" s="210">
        <v>133.97858500000004</v>
      </c>
      <c r="E13" s="108"/>
      <c r="F13" s="212" t="s">
        <v>989</v>
      </c>
      <c r="G13" s="10" t="s">
        <v>994</v>
      </c>
      <c r="H13" s="208" t="s">
        <v>996</v>
      </c>
      <c r="I13" s="210">
        <v>456.57423</v>
      </c>
      <c r="J13" s="108"/>
      <c r="K13" s="212" t="s">
        <v>999</v>
      </c>
      <c r="L13" s="10" t="s">
        <v>994</v>
      </c>
      <c r="M13" s="204" t="s">
        <v>395</v>
      </c>
      <c r="N13" s="209">
        <v>221.45062210285874</v>
      </c>
      <c r="O13" s="108"/>
      <c r="P13" s="211" t="s">
        <v>989</v>
      </c>
      <c r="Q13" s="10" t="s">
        <v>994</v>
      </c>
      <c r="R13" s="37"/>
    </row>
    <row r="14" spans="2:18">
      <c r="B14" s="11" t="s">
        <v>45</v>
      </c>
      <c r="C14" s="215" t="s">
        <v>46</v>
      </c>
      <c r="D14" s="10">
        <f>SUM(D4:D13)</f>
        <v>2989.4265587563864</v>
      </c>
      <c r="E14" s="10">
        <f>SUM(E4:E13)</f>
        <v>0</v>
      </c>
      <c r="F14" s="10"/>
      <c r="G14" s="10"/>
      <c r="H14" s="1" t="s">
        <v>46</v>
      </c>
      <c r="I14" s="10">
        <f>SUM(I4:I13)</f>
        <v>8589.0345163939601</v>
      </c>
      <c r="J14" s="108"/>
      <c r="K14" s="10"/>
      <c r="L14" s="10"/>
      <c r="M14" s="1" t="s">
        <v>46</v>
      </c>
      <c r="N14" s="10">
        <f>SUM(N4:N13)</f>
        <v>5680.0791085167421</v>
      </c>
      <c r="O14" s="108"/>
      <c r="P14" s="10"/>
      <c r="Q14" s="10"/>
      <c r="R14" s="37"/>
    </row>
    <row r="15" spans="2:18">
      <c r="B15" s="11" t="s">
        <v>45</v>
      </c>
      <c r="C15" s="105" t="s">
        <v>87</v>
      </c>
      <c r="D15" s="10">
        <f>合并口径财务报表!C3/10000</f>
        <v>5228.5609850000001</v>
      </c>
      <c r="E15" s="107"/>
      <c r="F15" s="12"/>
      <c r="G15" s="12"/>
      <c r="H15" s="4" t="s">
        <v>87</v>
      </c>
      <c r="I15" s="10">
        <f>合并口径财务报表!D3/10000</f>
        <v>16878.296898000001</v>
      </c>
      <c r="J15" s="107"/>
      <c r="K15" s="12"/>
      <c r="L15" s="12"/>
      <c r="M15" s="4" t="s">
        <v>87</v>
      </c>
      <c r="N15" s="10">
        <v>10285.86</v>
      </c>
      <c r="O15" s="107"/>
      <c r="P15" s="12"/>
      <c r="Q15" s="12"/>
      <c r="R15" s="38"/>
    </row>
    <row r="16" spans="2:18" ht="15" thickBot="1">
      <c r="B16" s="36"/>
      <c r="D16" s="37"/>
      <c r="E16" s="189"/>
      <c r="F16" s="38"/>
      <c r="G16" s="38"/>
      <c r="I16" s="37"/>
      <c r="J16" s="189"/>
      <c r="K16" s="38"/>
      <c r="L16" s="38"/>
      <c r="N16" s="37"/>
      <c r="O16" s="189"/>
      <c r="P16" s="38"/>
      <c r="Q16" s="38"/>
      <c r="R16" s="38"/>
    </row>
    <row r="17" spans="2:18" ht="48.6" customHeight="1" thickBot="1">
      <c r="B17" s="36"/>
      <c r="C17" s="252" t="s">
        <v>974</v>
      </c>
      <c r="D17" s="253"/>
      <c r="E17" s="253"/>
      <c r="F17" s="253"/>
      <c r="G17" s="253"/>
      <c r="H17" s="254"/>
      <c r="I17" s="37"/>
      <c r="J17" s="189"/>
      <c r="K17" s="38"/>
      <c r="L17" s="38"/>
      <c r="N17" s="37"/>
      <c r="O17" s="189"/>
      <c r="P17" s="38"/>
      <c r="Q17" s="38"/>
      <c r="R17" s="38"/>
    </row>
    <row r="20" spans="2:18">
      <c r="B20" s="245" t="s">
        <v>221</v>
      </c>
      <c r="C20" s="245"/>
      <c r="D20" s="245"/>
      <c r="E20" s="245"/>
      <c r="F20" s="245"/>
      <c r="G20" s="245"/>
      <c r="H20" s="245"/>
      <c r="I20" s="245"/>
      <c r="J20" s="245"/>
      <c r="K20" s="245"/>
      <c r="L20" s="245"/>
      <c r="M20" s="245"/>
      <c r="N20" s="245"/>
      <c r="O20" s="245"/>
      <c r="P20" s="245"/>
      <c r="Q20" s="33"/>
      <c r="R20" s="33"/>
    </row>
    <row r="21" spans="2:18" s="13" customFormat="1">
      <c r="B21" s="251" t="s">
        <v>42</v>
      </c>
      <c r="C21" s="239" t="str">
        <f>'收入、毛利率构成表'!C2</f>
        <v>2020年1-6月</v>
      </c>
      <c r="D21" s="241"/>
      <c r="E21" s="241"/>
      <c r="F21" s="241"/>
      <c r="G21" s="240"/>
      <c r="H21" s="239" t="str">
        <f>'收入、毛利率构成表'!G2</f>
        <v>2019年</v>
      </c>
      <c r="I21" s="241"/>
      <c r="J21" s="241"/>
      <c r="K21" s="241"/>
      <c r="L21" s="240"/>
      <c r="M21" s="239" t="str">
        <f>'收入、毛利率构成表'!K2</f>
        <v>2018年</v>
      </c>
      <c r="N21" s="241"/>
      <c r="O21" s="241"/>
      <c r="P21" s="241"/>
      <c r="Q21" s="240"/>
      <c r="R21" s="8"/>
    </row>
    <row r="22" spans="2:18" s="13" customFormat="1">
      <c r="B22" s="230"/>
      <c r="C22" s="188" t="s">
        <v>47</v>
      </c>
      <c r="D22" s="58" t="s">
        <v>144</v>
      </c>
      <c r="E22" s="58" t="s">
        <v>27</v>
      </c>
      <c r="F22" s="58" t="s">
        <v>334</v>
      </c>
      <c r="G22" s="58" t="s">
        <v>296</v>
      </c>
      <c r="H22" s="58" t="s">
        <v>47</v>
      </c>
      <c r="I22" s="58" t="s">
        <v>144</v>
      </c>
      <c r="J22" s="58" t="s">
        <v>27</v>
      </c>
      <c r="K22" s="58" t="s">
        <v>333</v>
      </c>
      <c r="L22" s="58" t="s">
        <v>296</v>
      </c>
      <c r="M22" s="58" t="s">
        <v>47</v>
      </c>
      <c r="N22" s="58" t="s">
        <v>144</v>
      </c>
      <c r="O22" s="58" t="s">
        <v>27</v>
      </c>
      <c r="P22" s="58" t="s">
        <v>333</v>
      </c>
      <c r="Q22" s="58" t="s">
        <v>296</v>
      </c>
      <c r="R22" s="36"/>
    </row>
    <row r="23" spans="2:18" s="13" customFormat="1">
      <c r="B23" s="11">
        <v>1</v>
      </c>
      <c r="C23" s="217" t="s">
        <v>438</v>
      </c>
      <c r="D23" s="10">
        <v>388.54169999999999</v>
      </c>
      <c r="E23" s="108">
        <v>0.249376657998687</v>
      </c>
      <c r="F23" s="10" t="s">
        <v>1012</v>
      </c>
      <c r="G23" s="10" t="s">
        <v>1013</v>
      </c>
      <c r="H23" s="9" t="s">
        <v>433</v>
      </c>
      <c r="I23" s="10">
        <v>893.53298599999994</v>
      </c>
      <c r="J23" s="108">
        <v>0.18512010000000001</v>
      </c>
      <c r="K23" s="10" t="s">
        <v>1012</v>
      </c>
      <c r="L23" s="10" t="s">
        <v>1013</v>
      </c>
      <c r="M23" s="9" t="s">
        <v>433</v>
      </c>
      <c r="N23" s="10">
        <v>1650.5107579999999</v>
      </c>
      <c r="O23" s="108">
        <v>0.29060023787061701</v>
      </c>
      <c r="P23" s="10" t="s">
        <v>1012</v>
      </c>
      <c r="Q23" s="10" t="s">
        <v>1013</v>
      </c>
      <c r="R23" s="37"/>
    </row>
    <row r="24" spans="2:18" s="13" customFormat="1" ht="28.8">
      <c r="B24" s="11">
        <v>2</v>
      </c>
      <c r="C24" s="217" t="s">
        <v>433</v>
      </c>
      <c r="D24" s="10">
        <v>347.26839999999999</v>
      </c>
      <c r="E24" s="108">
        <v>0.222886328598838</v>
      </c>
      <c r="F24" s="10" t="s">
        <v>1012</v>
      </c>
      <c r="G24" s="10" t="s">
        <v>1013</v>
      </c>
      <c r="H24" s="9" t="s">
        <v>438</v>
      </c>
      <c r="I24" s="10">
        <v>779.199611</v>
      </c>
      <c r="J24" s="108">
        <v>0.161432752952132</v>
      </c>
      <c r="K24" s="10" t="s">
        <v>1012</v>
      </c>
      <c r="L24" s="10" t="s">
        <v>1013</v>
      </c>
      <c r="M24" s="9" t="s">
        <v>1022</v>
      </c>
      <c r="N24" s="10">
        <v>566.18742300000008</v>
      </c>
      <c r="O24" s="108">
        <v>9.9686838759248705E-2</v>
      </c>
      <c r="P24" s="10" t="s">
        <v>1012</v>
      </c>
      <c r="Q24" s="10" t="s">
        <v>1013</v>
      </c>
      <c r="R24" s="37"/>
    </row>
    <row r="25" spans="2:18" s="13" customFormat="1">
      <c r="B25" s="11">
        <v>3</v>
      </c>
      <c r="C25" s="217" t="s">
        <v>1006</v>
      </c>
      <c r="D25" s="10">
        <v>105.67964499999999</v>
      </c>
      <c r="E25" s="108">
        <v>6.7828077883500301E-2</v>
      </c>
      <c r="F25" s="10" t="s">
        <v>1014</v>
      </c>
      <c r="G25" s="10" t="s">
        <v>1013</v>
      </c>
      <c r="H25" s="9" t="s">
        <v>415</v>
      </c>
      <c r="I25" s="10">
        <v>367.75487099999998</v>
      </c>
      <c r="J25" s="108">
        <v>7.6190594039049306E-2</v>
      </c>
      <c r="K25" s="10" t="s">
        <v>1012</v>
      </c>
      <c r="L25" s="10" t="s">
        <v>1013</v>
      </c>
      <c r="M25" s="9" t="s">
        <v>438</v>
      </c>
      <c r="N25" s="10">
        <v>454.68489599999998</v>
      </c>
      <c r="O25" s="108">
        <v>8.0054939535132999E-2</v>
      </c>
      <c r="P25" s="10" t="s">
        <v>1012</v>
      </c>
      <c r="Q25" s="10" t="s">
        <v>1013</v>
      </c>
      <c r="R25" s="37"/>
    </row>
    <row r="26" spans="2:18" s="13" customFormat="1">
      <c r="B26" s="11">
        <v>4</v>
      </c>
      <c r="C26" s="217" t="s">
        <v>1007</v>
      </c>
      <c r="D26" s="10">
        <v>94.039826000000005</v>
      </c>
      <c r="E26" s="108">
        <v>6.0357324649215303E-2</v>
      </c>
      <c r="F26" s="10" t="s">
        <v>1015</v>
      </c>
      <c r="G26" s="10" t="s">
        <v>1013</v>
      </c>
      <c r="H26" s="9" t="s">
        <v>1018</v>
      </c>
      <c r="I26" s="10">
        <v>265.33373399999999</v>
      </c>
      <c r="J26" s="108">
        <v>5.4971222426198903E-2</v>
      </c>
      <c r="K26" s="10" t="s">
        <v>1014</v>
      </c>
      <c r="L26" s="10" t="s">
        <v>1013</v>
      </c>
      <c r="M26" s="9" t="s">
        <v>1019</v>
      </c>
      <c r="N26" s="10">
        <v>348.28094800000002</v>
      </c>
      <c r="O26" s="108">
        <v>6.1320731079175302E-2</v>
      </c>
      <c r="P26" s="10" t="s">
        <v>1012</v>
      </c>
      <c r="Q26" s="10" t="s">
        <v>1013</v>
      </c>
      <c r="R26" s="37"/>
    </row>
    <row r="27" spans="2:18" s="13" customFormat="1">
      <c r="B27" s="11">
        <v>5</v>
      </c>
      <c r="C27" s="217" t="s">
        <v>1008</v>
      </c>
      <c r="D27" s="10">
        <v>70.919471000000001</v>
      </c>
      <c r="E27" s="108">
        <v>4.5518050353449302E-2</v>
      </c>
      <c r="F27" s="10" t="s">
        <v>1016</v>
      </c>
      <c r="G27" s="10" t="s">
        <v>1013</v>
      </c>
      <c r="H27" s="9" t="s">
        <v>1008</v>
      </c>
      <c r="I27" s="10">
        <v>252.99188799999999</v>
      </c>
      <c r="J27" s="108">
        <v>5.2414267638023003E-2</v>
      </c>
      <c r="K27" s="10" t="s">
        <v>1016</v>
      </c>
      <c r="L27" s="10" t="s">
        <v>1013</v>
      </c>
      <c r="M27" s="9" t="s">
        <v>1018</v>
      </c>
      <c r="N27" s="10">
        <v>246.33009500000003</v>
      </c>
      <c r="O27" s="108">
        <v>4.3370565053712597E-2</v>
      </c>
      <c r="P27" s="10" t="s">
        <v>1014</v>
      </c>
      <c r="Q27" s="10" t="s">
        <v>1013</v>
      </c>
      <c r="R27" s="37"/>
    </row>
    <row r="28" spans="2:18" s="13" customFormat="1">
      <c r="B28" s="11">
        <v>6</v>
      </c>
      <c r="C28" s="217" t="s">
        <v>411</v>
      </c>
      <c r="D28" s="10">
        <v>68.476815000000002</v>
      </c>
      <c r="E28" s="108">
        <v>4.39502871251512E-2</v>
      </c>
      <c r="F28" s="10" t="s">
        <v>1012</v>
      </c>
      <c r="G28" s="10" t="s">
        <v>1013</v>
      </c>
      <c r="H28" s="9" t="s">
        <v>1019</v>
      </c>
      <c r="I28" s="10">
        <v>206.42278100000001</v>
      </c>
      <c r="J28" s="108">
        <v>4.2766188969343602E-2</v>
      </c>
      <c r="K28" s="10" t="s">
        <v>1012</v>
      </c>
      <c r="L28" s="10" t="s">
        <v>1013</v>
      </c>
      <c r="M28" s="9" t="s">
        <v>1023</v>
      </c>
      <c r="N28" s="10">
        <v>186.88933299999999</v>
      </c>
      <c r="O28" s="108">
        <v>3.2905017045203003E-2</v>
      </c>
      <c r="P28" s="10" t="s">
        <v>1014</v>
      </c>
      <c r="Q28" s="10" t="s">
        <v>1013</v>
      </c>
      <c r="R28" s="37"/>
    </row>
    <row r="29" spans="2:18" s="13" customFormat="1">
      <c r="B29" s="11">
        <v>7</v>
      </c>
      <c r="C29" s="217" t="s">
        <v>415</v>
      </c>
      <c r="D29" s="10">
        <v>62.376334999999997</v>
      </c>
      <c r="E29" s="108">
        <v>4.0034832710379602E-2</v>
      </c>
      <c r="F29" s="10" t="s">
        <v>1012</v>
      </c>
      <c r="G29" s="10" t="s">
        <v>1013</v>
      </c>
      <c r="H29" s="9" t="s">
        <v>1010</v>
      </c>
      <c r="I29" s="10">
        <v>181.48004499999999</v>
      </c>
      <c r="J29" s="108">
        <v>3.7598611262944698E-2</v>
      </c>
      <c r="K29" s="10" t="s">
        <v>1017</v>
      </c>
      <c r="L29" s="10" t="s">
        <v>1013</v>
      </c>
      <c r="M29" s="9" t="s">
        <v>415</v>
      </c>
      <c r="N29" s="10">
        <v>182.449737</v>
      </c>
      <c r="O29" s="108">
        <v>3.2123351341180099E-2</v>
      </c>
      <c r="P29" s="10" t="s">
        <v>1012</v>
      </c>
      <c r="Q29" s="10" t="s">
        <v>1013</v>
      </c>
      <c r="R29" s="37"/>
    </row>
    <row r="30" spans="2:18" s="13" customFormat="1">
      <c r="B30" s="11">
        <v>8</v>
      </c>
      <c r="C30" s="217" t="s">
        <v>1009</v>
      </c>
      <c r="D30" s="10">
        <v>57.345131999999992</v>
      </c>
      <c r="E30" s="108">
        <v>3.6805669431758697E-2</v>
      </c>
      <c r="F30" s="10" t="s">
        <v>1014</v>
      </c>
      <c r="G30" s="10" t="s">
        <v>1013</v>
      </c>
      <c r="H30" s="9" t="s">
        <v>1006</v>
      </c>
      <c r="I30" s="10">
        <v>141.05221299999999</v>
      </c>
      <c r="J30" s="108">
        <v>2.9222867585056399E-2</v>
      </c>
      <c r="K30" s="10" t="s">
        <v>1014</v>
      </c>
      <c r="L30" s="10" t="s">
        <v>1013</v>
      </c>
      <c r="M30" s="9" t="s">
        <v>1024</v>
      </c>
      <c r="N30" s="10">
        <v>141.07382799999999</v>
      </c>
      <c r="O30" s="108">
        <v>2.4838425181666401E-2</v>
      </c>
      <c r="P30" s="10" t="s">
        <v>1026</v>
      </c>
      <c r="Q30" s="10" t="s">
        <v>1013</v>
      </c>
      <c r="R30" s="37"/>
    </row>
    <row r="31" spans="2:18" s="13" customFormat="1">
      <c r="B31" s="11">
        <v>9</v>
      </c>
      <c r="C31" s="217" t="s">
        <v>1010</v>
      </c>
      <c r="D31" s="10">
        <v>47.078941</v>
      </c>
      <c r="E31" s="108">
        <v>3.0216548104611E-2</v>
      </c>
      <c r="F31" s="10" t="s">
        <v>1017</v>
      </c>
      <c r="G31" s="10" t="s">
        <v>1013</v>
      </c>
      <c r="H31" s="9" t="s">
        <v>440</v>
      </c>
      <c r="I31" s="10">
        <v>105.09121200000001</v>
      </c>
      <c r="J31" s="108">
        <v>2.1772551506363799E-2</v>
      </c>
      <c r="K31" s="10" t="s">
        <v>1021</v>
      </c>
      <c r="L31" s="10" t="s">
        <v>1013</v>
      </c>
      <c r="M31" s="9" t="s">
        <v>1025</v>
      </c>
      <c r="N31" s="10">
        <v>138.30533500000001</v>
      </c>
      <c r="O31" s="108">
        <v>2.4350985326794999E-2</v>
      </c>
      <c r="P31" s="10" t="s">
        <v>1027</v>
      </c>
      <c r="Q31" s="10" t="s">
        <v>1013</v>
      </c>
      <c r="R31" s="37"/>
    </row>
    <row r="32" spans="2:18" s="13" customFormat="1">
      <c r="B32" s="11">
        <v>10</v>
      </c>
      <c r="C32" s="217" t="s">
        <v>1011</v>
      </c>
      <c r="D32" s="10">
        <v>39.033014000000001</v>
      </c>
      <c r="E32" s="108">
        <v>2.50524527558714E-2</v>
      </c>
      <c r="F32" s="10" t="s">
        <v>1012</v>
      </c>
      <c r="G32" s="10" t="s">
        <v>1013</v>
      </c>
      <c r="H32" s="9" t="s">
        <v>1020</v>
      </c>
      <c r="I32" s="10">
        <v>103.79956899999999</v>
      </c>
      <c r="J32" s="108">
        <v>2.1504951930622501E-2</v>
      </c>
      <c r="K32" s="10" t="s">
        <v>1012</v>
      </c>
      <c r="L32" s="10" t="s">
        <v>1013</v>
      </c>
      <c r="M32" s="9" t="s">
        <v>434</v>
      </c>
      <c r="N32" s="10">
        <v>130.14645900000002</v>
      </c>
      <c r="O32" s="108">
        <v>2.2914477691285899E-2</v>
      </c>
      <c r="P32" s="10" t="s">
        <v>1028</v>
      </c>
      <c r="Q32" s="10" t="s">
        <v>1013</v>
      </c>
      <c r="R32" s="37"/>
    </row>
    <row r="33" spans="2:18" s="13" customFormat="1">
      <c r="B33" s="11" t="s">
        <v>45</v>
      </c>
      <c r="C33" s="215" t="s">
        <v>46</v>
      </c>
      <c r="D33" s="10">
        <v>1280.7592789999999</v>
      </c>
      <c r="E33" s="108">
        <v>0.82202622961146132</v>
      </c>
      <c r="F33" s="10"/>
      <c r="G33" s="10"/>
      <c r="H33" s="1" t="s">
        <v>46</v>
      </c>
      <c r="I33" s="10">
        <v>3296.6589099999997</v>
      </c>
      <c r="J33" s="108">
        <v>0.68299408248225335</v>
      </c>
      <c r="K33" s="10"/>
      <c r="L33" s="10"/>
      <c r="M33" s="1" t="s">
        <v>46</v>
      </c>
      <c r="N33" s="10">
        <v>4044.8588120000004</v>
      </c>
      <c r="O33" s="108">
        <v>0.71216556888401594</v>
      </c>
      <c r="P33" s="10"/>
      <c r="Q33" s="10"/>
      <c r="R33" s="37"/>
    </row>
    <row r="34" spans="2:18" s="13" customFormat="1">
      <c r="B34" s="11" t="s">
        <v>45</v>
      </c>
      <c r="C34" s="218" t="s">
        <v>88</v>
      </c>
      <c r="D34" s="113">
        <v>1558.051596</v>
      </c>
      <c r="E34" s="12" t="s">
        <v>45</v>
      </c>
      <c r="F34" s="12"/>
      <c r="G34" s="12"/>
      <c r="H34" s="114" t="s">
        <v>88</v>
      </c>
      <c r="I34" s="113">
        <v>4826.775216</v>
      </c>
      <c r="J34" s="12" t="s">
        <v>45</v>
      </c>
      <c r="K34" s="12"/>
      <c r="L34" s="12"/>
      <c r="M34" s="114" t="s">
        <v>88</v>
      </c>
      <c r="N34" s="113">
        <v>5679.6607260000101</v>
      </c>
      <c r="O34" s="12" t="s">
        <v>45</v>
      </c>
      <c r="P34" s="12"/>
      <c r="Q34" s="12"/>
      <c r="R34" s="38"/>
    </row>
  </sheetData>
  <mergeCells count="11">
    <mergeCell ref="B1:P1"/>
    <mergeCell ref="B20:P20"/>
    <mergeCell ref="B2:B3"/>
    <mergeCell ref="B21:B22"/>
    <mergeCell ref="C2:G2"/>
    <mergeCell ref="H2:L2"/>
    <mergeCell ref="M2:Q2"/>
    <mergeCell ref="H21:L21"/>
    <mergeCell ref="M21:Q21"/>
    <mergeCell ref="C21:G21"/>
    <mergeCell ref="C17:H17"/>
  </mergeCells>
  <phoneticPr fontId="6" type="noConversion"/>
  <pageMargins left="0.69930555555555596" right="0.69930555555555596"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68"/>
  <sheetViews>
    <sheetView zoomScale="90" zoomScaleNormal="90" workbookViewId="0">
      <selection activeCell="G41" sqref="G41:J41"/>
    </sheetView>
  </sheetViews>
  <sheetFormatPr defaultColWidth="9" defaultRowHeight="14.4"/>
  <cols>
    <col min="1" max="1" width="3.09765625" style="8" customWidth="1"/>
    <col min="2" max="2" width="26" style="8" bestFit="1" customWidth="1"/>
    <col min="3" max="5" width="16.59765625" style="8" customWidth="1"/>
    <col min="6" max="6" width="12.59765625" style="8" customWidth="1"/>
    <col min="7" max="7" width="16.59765625" style="8" customWidth="1"/>
    <col min="8" max="8" width="12.59765625" style="8" bestFit="1" customWidth="1"/>
    <col min="9" max="10" width="12.5" style="8" customWidth="1"/>
    <col min="11" max="16384" width="9" style="8"/>
  </cols>
  <sheetData>
    <row r="1" spans="2:6">
      <c r="B1" s="246" t="s">
        <v>95</v>
      </c>
      <c r="C1" s="246"/>
      <c r="D1" s="246"/>
      <c r="E1" s="246"/>
    </row>
    <row r="2" spans="2:6">
      <c r="B2" s="64" t="s">
        <v>297</v>
      </c>
      <c r="C2" s="58" t="str">
        <f>'收入、毛利率构成表'!C2</f>
        <v>2020年1-6月</v>
      </c>
      <c r="D2" s="58" t="str">
        <f>'收入、毛利率构成表'!G2</f>
        <v>2019年</v>
      </c>
      <c r="E2" s="58" t="str">
        <f>'收入、毛利率构成表'!K2</f>
        <v>2018年</v>
      </c>
    </row>
    <row r="3" spans="2:6">
      <c r="B3" s="141" t="s">
        <v>359</v>
      </c>
      <c r="C3" s="23">
        <v>678.86082099999999</v>
      </c>
      <c r="D3" s="24">
        <v>1438.306114</v>
      </c>
      <c r="E3" s="24">
        <v>1287.0788580000001</v>
      </c>
      <c r="F3" s="21"/>
    </row>
    <row r="4" spans="2:6" ht="15.6">
      <c r="B4" s="141" t="s">
        <v>373</v>
      </c>
      <c r="C4" s="144">
        <v>16.392593000000002</v>
      </c>
      <c r="D4" s="24">
        <v>48.187519000000002</v>
      </c>
      <c r="E4" s="24">
        <v>169.6506</v>
      </c>
      <c r="F4" s="21"/>
    </row>
    <row r="5" spans="2:6" ht="15.6">
      <c r="B5" s="141" t="s">
        <v>377</v>
      </c>
      <c r="C5" s="144">
        <v>4.8177659999999998</v>
      </c>
      <c r="D5" s="24">
        <v>69.145142000000007</v>
      </c>
      <c r="E5" s="24">
        <v>12.792224000000001</v>
      </c>
      <c r="F5" s="21"/>
    </row>
    <row r="6" spans="2:6" ht="15.6">
      <c r="B6" s="141" t="s">
        <v>363</v>
      </c>
      <c r="C6" s="144">
        <v>259.63590499999998</v>
      </c>
      <c r="D6" s="24">
        <v>583.84898299999998</v>
      </c>
      <c r="E6" s="24">
        <v>325.28298599999999</v>
      </c>
      <c r="F6" s="21"/>
    </row>
    <row r="7" spans="2:6" ht="15.6">
      <c r="B7" s="141" t="s">
        <v>364</v>
      </c>
      <c r="C7" s="144">
        <v>7.2639089999999999</v>
      </c>
      <c r="D7" s="24">
        <v>225.38767999999999</v>
      </c>
      <c r="E7" s="24">
        <v>213.20076900000001</v>
      </c>
      <c r="F7" s="22"/>
    </row>
    <row r="8" spans="2:6" ht="15.6">
      <c r="B8" s="141" t="s">
        <v>378</v>
      </c>
      <c r="C8" s="144">
        <v>4.2418639999999996</v>
      </c>
      <c r="D8" s="24">
        <v>51.976496999999995</v>
      </c>
      <c r="E8" s="24">
        <v>55.294012000000002</v>
      </c>
      <c r="F8" s="21"/>
    </row>
    <row r="9" spans="2:6" ht="15.6">
      <c r="B9" s="141" t="s">
        <v>360</v>
      </c>
      <c r="C9" s="144">
        <v>26.855588000000001</v>
      </c>
      <c r="D9" s="24">
        <v>23.817625</v>
      </c>
      <c r="E9" s="24">
        <v>2.5751659999999998</v>
      </c>
      <c r="F9" s="21"/>
    </row>
    <row r="10" spans="2:6" ht="15.6">
      <c r="B10" s="141" t="s">
        <v>367</v>
      </c>
      <c r="C10" s="144">
        <v>26.948579000000002</v>
      </c>
      <c r="D10" s="24">
        <v>194.300296</v>
      </c>
      <c r="E10" s="24">
        <v>239.63976499999998</v>
      </c>
      <c r="F10" s="22"/>
    </row>
    <row r="11" spans="2:6" ht="15.6">
      <c r="B11" s="141" t="s">
        <v>361</v>
      </c>
      <c r="C11" s="144">
        <v>29.256890000000002</v>
      </c>
      <c r="D11" s="24">
        <v>9.1434119999999997</v>
      </c>
      <c r="E11" s="24">
        <v>3.7542980000000004</v>
      </c>
      <c r="F11" s="21"/>
    </row>
    <row r="12" spans="2:6" ht="15.6">
      <c r="B12" s="141" t="s">
        <v>370</v>
      </c>
      <c r="C12" s="144">
        <v>13.529801000000001</v>
      </c>
      <c r="D12" s="24">
        <v>0.325712</v>
      </c>
      <c r="E12" s="24">
        <v>1.7300959999999999</v>
      </c>
      <c r="F12" s="21"/>
    </row>
    <row r="13" spans="2:6" ht="15.6">
      <c r="B13" s="141" t="s">
        <v>369</v>
      </c>
      <c r="C13" s="144">
        <v>0.63226099999999996</v>
      </c>
      <c r="D13" s="24">
        <v>18.716698000000001</v>
      </c>
      <c r="E13" s="24">
        <v>40.703983000000001</v>
      </c>
      <c r="F13" s="21"/>
    </row>
    <row r="14" spans="2:6">
      <c r="B14" s="141" t="s">
        <v>362</v>
      </c>
      <c r="C14" s="23"/>
      <c r="D14" s="24">
        <v>1.5914459999999999</v>
      </c>
      <c r="E14" s="24">
        <v>8.6177999999999991E-2</v>
      </c>
      <c r="F14" s="21"/>
    </row>
    <row r="15" spans="2:6">
      <c r="B15" s="141" t="s">
        <v>379</v>
      </c>
      <c r="C15" s="9"/>
      <c r="D15" s="24">
        <v>14.442368</v>
      </c>
      <c r="E15" s="24">
        <v>14.755348000000001</v>
      </c>
      <c r="F15" s="22"/>
    </row>
    <row r="16" spans="2:6" ht="15.6">
      <c r="B16" s="142" t="s">
        <v>376</v>
      </c>
      <c r="C16" s="143">
        <v>0.18679200000000001</v>
      </c>
      <c r="D16" s="24">
        <v>26.705960999999999</v>
      </c>
      <c r="E16" s="24">
        <v>288.098904</v>
      </c>
      <c r="F16" s="22"/>
    </row>
    <row r="17" spans="2:7">
      <c r="B17" s="9" t="s">
        <v>28</v>
      </c>
      <c r="C17" s="24">
        <f>SUM(C3:C16)</f>
        <v>1068.6227690000001</v>
      </c>
      <c r="D17" s="24">
        <f>SUM(D3:D16)</f>
        <v>2705.8954530000001</v>
      </c>
      <c r="E17" s="24">
        <f>SUM(E3:E16)</f>
        <v>2654.6431869999997</v>
      </c>
    </row>
    <row r="18" spans="2:7">
      <c r="C18" s="43">
        <f>'报告（自动生成）'!C6-四大费用明细!C17</f>
        <v>0</v>
      </c>
      <c r="D18" s="43">
        <f>'报告（自动生成）'!D6-四大费用明细!D17</f>
        <v>0</v>
      </c>
      <c r="E18" s="43">
        <f>'报告（自动生成）'!E6-四大费用明细!E17</f>
        <v>0</v>
      </c>
    </row>
    <row r="19" spans="2:7">
      <c r="B19" s="245" t="s">
        <v>96</v>
      </c>
      <c r="C19" s="245"/>
      <c r="D19" s="245"/>
      <c r="E19" s="245"/>
    </row>
    <row r="20" spans="2:7">
      <c r="B20" s="64" t="s">
        <v>57</v>
      </c>
      <c r="C20" s="58" t="str">
        <f>C2</f>
        <v>2020年1-6月</v>
      </c>
      <c r="D20" s="58" t="str">
        <f>D2</f>
        <v>2019年</v>
      </c>
      <c r="E20" s="58" t="str">
        <f>E2</f>
        <v>2018年</v>
      </c>
      <c r="G20" s="34"/>
    </row>
    <row r="21" spans="2:7" ht="15.6">
      <c r="B21" s="4" t="s">
        <v>359</v>
      </c>
      <c r="C21" s="145">
        <v>572.22049800000013</v>
      </c>
      <c r="D21" s="24">
        <v>1297.230808</v>
      </c>
      <c r="E21" s="24">
        <v>1969.676064</v>
      </c>
    </row>
    <row r="22" spans="2:7" ht="15.6">
      <c r="B22" s="4" t="s">
        <v>360</v>
      </c>
      <c r="C22" s="145">
        <v>103.41</v>
      </c>
      <c r="D22" s="24">
        <v>419.43946299999999</v>
      </c>
      <c r="E22" s="24">
        <v>368.08811900000001</v>
      </c>
    </row>
    <row r="23" spans="2:7" ht="15.6">
      <c r="B23" s="4" t="s">
        <v>361</v>
      </c>
      <c r="C23" s="145">
        <v>55.020895000000003</v>
      </c>
      <c r="D23" s="24">
        <v>65.546728999999999</v>
      </c>
      <c r="E23" s="24">
        <v>50.268665000000006</v>
      </c>
    </row>
    <row r="24" spans="2:7" ht="15.6">
      <c r="B24" s="4" t="s">
        <v>362</v>
      </c>
      <c r="C24" s="145">
        <v>4.03</v>
      </c>
      <c r="D24" s="24">
        <v>26.003835000000002</v>
      </c>
      <c r="E24" s="24">
        <v>51.232799</v>
      </c>
    </row>
    <row r="25" spans="2:7" ht="15.6">
      <c r="B25" s="4" t="s">
        <v>363</v>
      </c>
      <c r="C25" s="145">
        <v>217.768957</v>
      </c>
      <c r="D25" s="24">
        <v>363.221496</v>
      </c>
      <c r="E25" s="24">
        <v>410.29391800000002</v>
      </c>
    </row>
    <row r="26" spans="2:7" ht="15.6">
      <c r="B26" s="4" t="s">
        <v>364</v>
      </c>
      <c r="C26" s="145">
        <v>12.936287</v>
      </c>
      <c r="D26" s="24">
        <v>20.613875</v>
      </c>
      <c r="E26" s="24">
        <v>101.269367</v>
      </c>
    </row>
    <row r="27" spans="2:7" ht="15.6">
      <c r="B27" s="4" t="s">
        <v>365</v>
      </c>
      <c r="C27" s="145"/>
      <c r="D27" s="24">
        <v>26.366724999999999</v>
      </c>
      <c r="E27" s="24">
        <v>77.738081000000008</v>
      </c>
    </row>
    <row r="28" spans="2:7" ht="15.6">
      <c r="B28" s="4" t="s">
        <v>366</v>
      </c>
      <c r="C28" s="145">
        <v>11.554386000000001</v>
      </c>
      <c r="D28" s="24">
        <v>58.526823999999998</v>
      </c>
      <c r="E28" s="24">
        <v>17.266083999999999</v>
      </c>
    </row>
    <row r="29" spans="2:7" ht="15.6">
      <c r="B29" s="4" t="s">
        <v>367</v>
      </c>
      <c r="C29" s="145">
        <v>6.5110720000000004</v>
      </c>
      <c r="D29" s="24">
        <v>33.475204999999995</v>
      </c>
      <c r="E29" s="24">
        <v>65.332028000000008</v>
      </c>
    </row>
    <row r="30" spans="2:7" ht="15.6">
      <c r="B30" s="4" t="s">
        <v>368</v>
      </c>
      <c r="C30" s="145">
        <v>3.7639139999999998</v>
      </c>
      <c r="D30" s="24">
        <v>50.740196000000005</v>
      </c>
      <c r="E30" s="24">
        <v>43.399996000000002</v>
      </c>
    </row>
    <row r="31" spans="2:7" ht="15.6">
      <c r="B31" s="4" t="s">
        <v>369</v>
      </c>
      <c r="C31" s="145">
        <v>43.28</v>
      </c>
      <c r="D31" s="24">
        <v>54.381535999999997</v>
      </c>
      <c r="E31" s="24">
        <v>199.32040499999999</v>
      </c>
    </row>
    <row r="32" spans="2:7" ht="15.6">
      <c r="B32" s="4" t="s">
        <v>370</v>
      </c>
      <c r="C32" s="145">
        <v>5.2139499999999996</v>
      </c>
      <c r="D32" s="24">
        <v>2.4040720000000002</v>
      </c>
      <c r="E32" s="24">
        <v>32.630479999999999</v>
      </c>
    </row>
    <row r="33" spans="2:10" ht="15.6">
      <c r="B33" s="4" t="s">
        <v>371</v>
      </c>
      <c r="C33" s="145"/>
      <c r="D33" s="24">
        <v>6.2142439999999999</v>
      </c>
      <c r="E33" s="24">
        <v>5.2931589999999993</v>
      </c>
    </row>
    <row r="34" spans="2:10" ht="15.6">
      <c r="B34" s="4" t="s">
        <v>372</v>
      </c>
      <c r="C34" s="145">
        <v>38.745106</v>
      </c>
      <c r="D34" s="24">
        <v>78.291413000000006</v>
      </c>
      <c r="E34" s="24">
        <v>74.639397000000002</v>
      </c>
    </row>
    <row r="35" spans="2:10" ht="15.6">
      <c r="B35" s="4" t="s">
        <v>373</v>
      </c>
      <c r="C35" s="145"/>
      <c r="D35" s="24">
        <v>0</v>
      </c>
      <c r="E35" s="24">
        <v>12.512739999999999</v>
      </c>
    </row>
    <row r="36" spans="2:10" ht="15.6">
      <c r="B36" s="4" t="s">
        <v>374</v>
      </c>
      <c r="C36" s="145"/>
      <c r="D36" s="24">
        <v>0</v>
      </c>
      <c r="E36" s="24">
        <v>43.390585999999999</v>
      </c>
    </row>
    <row r="37" spans="2:10" ht="15.6">
      <c r="B37" s="4" t="s">
        <v>375</v>
      </c>
      <c r="C37" s="145"/>
      <c r="D37" s="24">
        <v>0</v>
      </c>
      <c r="E37" s="24">
        <v>0</v>
      </c>
    </row>
    <row r="38" spans="2:10" ht="15.6">
      <c r="B38" s="4" t="s">
        <v>376</v>
      </c>
      <c r="C38" s="145">
        <v>1.42</v>
      </c>
      <c r="D38" s="24">
        <v>44.188796999999994</v>
      </c>
      <c r="E38" s="24">
        <v>392.02511099999998</v>
      </c>
    </row>
    <row r="39" spans="2:10">
      <c r="B39" s="9" t="s">
        <v>28</v>
      </c>
      <c r="C39" s="24">
        <f>SUM(C21:C38)</f>
        <v>1075.8750650000004</v>
      </c>
      <c r="D39" s="24">
        <f>SUM(D21:D38)</f>
        <v>2546.6452179999992</v>
      </c>
      <c r="E39" s="24">
        <f>SUM(E21:E38)</f>
        <v>3914.3769989999992</v>
      </c>
    </row>
    <row r="40" spans="2:10">
      <c r="C40" s="43">
        <f>'报告（自动生成）'!C7-四大费用明细!C39</f>
        <v>-5.7500000025356712E-4</v>
      </c>
      <c r="D40" s="43">
        <f>'报告（自动生成）'!D7-四大费用明细!D39</f>
        <v>0</v>
      </c>
      <c r="E40" s="43">
        <f>'报告（自动生成）'!E7-四大费用明细!E39</f>
        <v>0</v>
      </c>
    </row>
    <row r="41" spans="2:10">
      <c r="B41" s="245" t="s">
        <v>299</v>
      </c>
      <c r="C41" s="245"/>
      <c r="D41" s="245"/>
      <c r="E41" s="245"/>
      <c r="G41" s="245" t="s">
        <v>298</v>
      </c>
      <c r="H41" s="245"/>
      <c r="I41" s="245"/>
      <c r="J41" s="245"/>
    </row>
    <row r="42" spans="2:10">
      <c r="B42" s="64" t="s">
        <v>57</v>
      </c>
      <c r="C42" s="58" t="str">
        <f>C2</f>
        <v>2020年1-6月</v>
      </c>
      <c r="D42" s="58" t="str">
        <f>D2</f>
        <v>2019年</v>
      </c>
      <c r="E42" s="58" t="str">
        <f>E2</f>
        <v>2018年</v>
      </c>
      <c r="G42" s="64" t="s">
        <v>300</v>
      </c>
      <c r="H42" s="58" t="str">
        <f t="shared" ref="H42:J42" si="0">C42</f>
        <v>2020年1-6月</v>
      </c>
      <c r="I42" s="58" t="str">
        <f t="shared" si="0"/>
        <v>2019年</v>
      </c>
      <c r="J42" s="58" t="str">
        <f t="shared" si="0"/>
        <v>2018年</v>
      </c>
    </row>
    <row r="43" spans="2:10">
      <c r="B43" s="9" t="s">
        <v>380</v>
      </c>
      <c r="C43" s="23">
        <v>1150.8137629999999</v>
      </c>
      <c r="D43" s="24">
        <v>1521.0739590000001</v>
      </c>
      <c r="E43" s="24">
        <v>3230.3053129999998</v>
      </c>
      <c r="G43" s="9"/>
      <c r="H43" s="9"/>
      <c r="I43" s="19"/>
      <c r="J43" s="19"/>
    </row>
    <row r="44" spans="2:10">
      <c r="B44" s="9" t="s">
        <v>381</v>
      </c>
      <c r="C44" s="23">
        <v>49.200179999999996</v>
      </c>
      <c r="D44" s="24">
        <v>49.733065000000003</v>
      </c>
      <c r="E44" s="24">
        <v>220.05602999999999</v>
      </c>
      <c r="G44" s="9"/>
      <c r="H44" s="9"/>
      <c r="I44" s="19"/>
      <c r="J44" s="19"/>
    </row>
    <row r="45" spans="2:10">
      <c r="B45" s="9" t="s">
        <v>382</v>
      </c>
      <c r="C45" s="23">
        <v>107.37</v>
      </c>
      <c r="D45" s="24">
        <v>354.56053300000002</v>
      </c>
      <c r="E45" s="24">
        <v>397.32154199999997</v>
      </c>
      <c r="G45" s="9"/>
      <c r="H45" s="9"/>
      <c r="I45" s="19"/>
      <c r="J45" s="19"/>
    </row>
    <row r="46" spans="2:10">
      <c r="B46" s="9"/>
      <c r="C46" s="9"/>
      <c r="D46" s="19"/>
      <c r="E46" s="19"/>
      <c r="G46" s="9"/>
      <c r="H46" s="9"/>
      <c r="I46" s="19"/>
      <c r="J46" s="19"/>
    </row>
    <row r="47" spans="2:10">
      <c r="B47" s="9"/>
      <c r="C47" s="9"/>
      <c r="D47" s="19"/>
      <c r="E47" s="19"/>
      <c r="G47" s="9"/>
      <c r="H47" s="9"/>
      <c r="I47" s="19"/>
      <c r="J47" s="19"/>
    </row>
    <row r="48" spans="2:10">
      <c r="B48" s="9"/>
      <c r="C48" s="9"/>
      <c r="D48" s="19"/>
      <c r="E48" s="19"/>
      <c r="G48" s="9"/>
      <c r="H48" s="9"/>
      <c r="I48" s="19"/>
      <c r="J48" s="19"/>
    </row>
    <row r="49" spans="2:10">
      <c r="B49" s="9"/>
      <c r="C49" s="9"/>
      <c r="D49" s="19"/>
      <c r="E49" s="19"/>
      <c r="G49" s="9"/>
      <c r="H49" s="9"/>
      <c r="I49" s="19"/>
      <c r="J49" s="19"/>
    </row>
    <row r="50" spans="2:10">
      <c r="B50" s="9"/>
      <c r="C50" s="9"/>
      <c r="D50" s="19"/>
      <c r="E50" s="19"/>
      <c r="G50" s="9"/>
      <c r="H50" s="9"/>
      <c r="I50" s="19"/>
      <c r="J50" s="19"/>
    </row>
    <row r="51" spans="2:10">
      <c r="B51" s="9"/>
      <c r="C51" s="9"/>
      <c r="D51" s="19"/>
      <c r="E51" s="19"/>
      <c r="G51" s="9"/>
      <c r="H51" s="9"/>
      <c r="I51" s="19"/>
      <c r="J51" s="19"/>
    </row>
    <row r="52" spans="2:10">
      <c r="B52" s="9"/>
      <c r="C52" s="9"/>
      <c r="D52" s="19"/>
      <c r="E52" s="19"/>
      <c r="G52" s="9"/>
      <c r="H52" s="9"/>
      <c r="I52" s="19"/>
      <c r="J52" s="19"/>
    </row>
    <row r="53" spans="2:10">
      <c r="B53" s="9"/>
      <c r="C53" s="9"/>
      <c r="D53" s="19"/>
      <c r="E53" s="19"/>
      <c r="G53" s="9"/>
      <c r="H53" s="9"/>
      <c r="I53" s="19"/>
      <c r="J53" s="19"/>
    </row>
    <row r="54" spans="2:10">
      <c r="B54" s="9" t="s">
        <v>28</v>
      </c>
      <c r="C54" s="24">
        <f>SUM(C43:C53)</f>
        <v>1307.3839429999998</v>
      </c>
      <c r="D54" s="24">
        <f>SUM(D43:D53)</f>
        <v>1925.367557</v>
      </c>
      <c r="E54" s="24">
        <f t="shared" ref="E54" si="1">SUM(E43:E53)</f>
        <v>3847.6828850000002</v>
      </c>
      <c r="G54" s="9" t="s">
        <v>28</v>
      </c>
      <c r="H54" s="24">
        <f>SUM(H43:H53)</f>
        <v>0</v>
      </c>
      <c r="I54" s="24">
        <f>SUM(I43:I53)</f>
        <v>0</v>
      </c>
      <c r="J54" s="24">
        <f t="shared" ref="J54" si="2">SUM(J43:J53)</f>
        <v>0</v>
      </c>
    </row>
    <row r="55" spans="2:10">
      <c r="C55" s="43">
        <f>C54-'报告（自动生成）'!C8</f>
        <v>-2.9130000002624001E-3</v>
      </c>
      <c r="D55" s="43">
        <f>D54-'报告（自动生成）'!D8</f>
        <v>0</v>
      </c>
      <c r="E55" s="43">
        <f>E54-'报告（自动生成）'!E8</f>
        <v>0</v>
      </c>
    </row>
    <row r="56" spans="2:10">
      <c r="B56" s="245" t="s">
        <v>220</v>
      </c>
      <c r="C56" s="245"/>
      <c r="D56" s="245"/>
      <c r="E56" s="245"/>
    </row>
    <row r="57" spans="2:10">
      <c r="B57" s="64" t="s">
        <v>57</v>
      </c>
      <c r="C57" s="58" t="str">
        <f>C2</f>
        <v>2020年1-6月</v>
      </c>
      <c r="D57" s="58" t="str">
        <f>D2</f>
        <v>2019年</v>
      </c>
      <c r="E57" s="58" t="str">
        <f>E2</f>
        <v>2018年</v>
      </c>
    </row>
    <row r="58" spans="2:10">
      <c r="B58" s="9" t="s">
        <v>383</v>
      </c>
      <c r="C58" s="34">
        <v>88.95</v>
      </c>
      <c r="D58" s="24">
        <v>300.55889400000001</v>
      </c>
      <c r="E58" s="24">
        <v>141.22369</v>
      </c>
    </row>
    <row r="59" spans="2:10">
      <c r="B59" s="9" t="s">
        <v>385</v>
      </c>
      <c r="C59" s="34">
        <v>-0.44</v>
      </c>
      <c r="D59" s="24">
        <v>-7.6724180000000004</v>
      </c>
      <c r="E59" s="24">
        <v>-3.890161</v>
      </c>
    </row>
    <row r="60" spans="2:10">
      <c r="B60" s="9" t="s">
        <v>386</v>
      </c>
      <c r="C60" s="23"/>
      <c r="D60" s="24">
        <v>0</v>
      </c>
      <c r="E60" s="24">
        <v>0</v>
      </c>
    </row>
    <row r="61" spans="2:10">
      <c r="B61" s="9" t="s">
        <v>384</v>
      </c>
      <c r="C61" s="23"/>
      <c r="D61" s="24">
        <v>0</v>
      </c>
      <c r="E61" s="24">
        <v>0.499832</v>
      </c>
      <c r="H61" s="34"/>
    </row>
    <row r="62" spans="2:10">
      <c r="B62" s="9" t="s">
        <v>387</v>
      </c>
      <c r="C62" s="23"/>
      <c r="D62" s="24">
        <v>0</v>
      </c>
      <c r="E62" s="24">
        <v>0</v>
      </c>
      <c r="H62" s="34"/>
    </row>
    <row r="63" spans="2:10">
      <c r="B63" s="9" t="s">
        <v>376</v>
      </c>
      <c r="C63" s="23">
        <v>13.31</v>
      </c>
      <c r="D63" s="24">
        <v>109.6618</v>
      </c>
      <c r="E63" s="24">
        <v>15.671156</v>
      </c>
      <c r="H63" s="34"/>
    </row>
    <row r="64" spans="2:10">
      <c r="B64" s="9" t="s">
        <v>28</v>
      </c>
      <c r="C64" s="24">
        <f>SUM(C58:C63)</f>
        <v>101.82000000000001</v>
      </c>
      <c r="D64" s="24">
        <f>SUM(D58:D63)</f>
        <v>402.54827599999999</v>
      </c>
      <c r="E64" s="24">
        <f>SUM(E58:E63)</f>
        <v>153.50451699999999</v>
      </c>
      <c r="H64" s="34"/>
    </row>
    <row r="65" spans="3:8">
      <c r="C65" s="43">
        <f>'报告（自动生成）'!C9-四大费用明细!C64</f>
        <v>-1.4560000000187756E-3</v>
      </c>
      <c r="D65" s="43">
        <f>'报告（自动生成）'!D9-四大费用明细!D64</f>
        <v>0</v>
      </c>
      <c r="E65" s="43">
        <f>'报告（自动生成）'!E9-四大费用明细!E64</f>
        <v>0</v>
      </c>
      <c r="H65" s="34"/>
    </row>
    <row r="66" spans="3:8">
      <c r="H66" s="34"/>
    </row>
    <row r="67" spans="3:8">
      <c r="H67" s="34"/>
    </row>
    <row r="68" spans="3:8">
      <c r="H68" s="34"/>
    </row>
  </sheetData>
  <autoFilter ref="B20:E42" xr:uid="{00000000-0009-0000-0000-00000A000000}"/>
  <mergeCells count="5">
    <mergeCell ref="B1:E1"/>
    <mergeCell ref="B19:E19"/>
    <mergeCell ref="B41:E41"/>
    <mergeCell ref="B56:E56"/>
    <mergeCell ref="G41:J41"/>
  </mergeCells>
  <phoneticPr fontId="6" type="noConversion"/>
  <pageMargins left="0.69930555555555596" right="0.69930555555555596"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O24"/>
  <sheetViews>
    <sheetView zoomScale="90" zoomScaleNormal="90" workbookViewId="0">
      <pane xSplit="2" ySplit="2" topLeftCell="H3" activePane="bottomRight" state="frozenSplit"/>
      <selection pane="topRight" activeCell="C1" sqref="C1"/>
      <selection pane="bottomLeft" activeCell="A3" sqref="A3"/>
      <selection pane="bottomRight" activeCell="M28" sqref="M28"/>
    </sheetView>
  </sheetViews>
  <sheetFormatPr defaultColWidth="8.59765625" defaultRowHeight="14.4"/>
  <cols>
    <col min="1" max="1" width="1.8984375" style="8" customWidth="1"/>
    <col min="2" max="2" width="27.09765625" style="8" bestFit="1" customWidth="1"/>
    <col min="3" max="3" width="16.5" style="34" customWidth="1"/>
    <col min="4" max="4" width="12.09765625" style="34" customWidth="1"/>
    <col min="5" max="5" width="13.09765625" style="34" customWidth="1"/>
    <col min="6" max="6" width="12.59765625" style="34" customWidth="1"/>
    <col min="7" max="7" width="20.59765625" style="34" customWidth="1"/>
    <col min="8" max="8" width="13.8984375" style="34" customWidth="1"/>
    <col min="9" max="9" width="14.5" style="34" customWidth="1"/>
    <col min="10" max="10" width="14" style="34" customWidth="1"/>
    <col min="11" max="11" width="20.3984375" style="34" bestFit="1" customWidth="1"/>
    <col min="12" max="14" width="16.59765625" style="8" customWidth="1"/>
    <col min="15" max="15" width="19.3984375" style="8" bestFit="1" customWidth="1"/>
    <col min="16" max="17" width="16.09765625" style="8" bestFit="1" customWidth="1"/>
    <col min="18" max="16384" width="8.59765625" style="8"/>
  </cols>
  <sheetData>
    <row r="1" spans="2:15">
      <c r="B1" s="13" t="s">
        <v>125</v>
      </c>
    </row>
    <row r="2" spans="2:15" s="65" customFormat="1">
      <c r="B2" s="58" t="s">
        <v>83</v>
      </c>
      <c r="C2" s="68" t="s">
        <v>346</v>
      </c>
      <c r="D2" s="67" t="s">
        <v>347</v>
      </c>
      <c r="E2" s="67" t="s">
        <v>348</v>
      </c>
      <c r="F2" s="67" t="s">
        <v>349</v>
      </c>
      <c r="G2" s="68" t="s">
        <v>350</v>
      </c>
      <c r="H2" s="67" t="s">
        <v>351</v>
      </c>
      <c r="I2" s="67" t="s">
        <v>352</v>
      </c>
      <c r="J2" s="67" t="s">
        <v>353</v>
      </c>
      <c r="K2" s="68" t="s">
        <v>354</v>
      </c>
      <c r="L2" s="67" t="s">
        <v>355</v>
      </c>
      <c r="M2" s="67" t="s">
        <v>356</v>
      </c>
      <c r="N2" s="67" t="s">
        <v>357</v>
      </c>
      <c r="O2" s="68" t="s">
        <v>358</v>
      </c>
    </row>
    <row r="3" spans="2:15" s="65" customFormat="1">
      <c r="B3" s="4" t="s">
        <v>126</v>
      </c>
      <c r="C3" s="148">
        <v>319.30053700000002</v>
      </c>
      <c r="D3" s="148">
        <v>0</v>
      </c>
      <c r="E3" s="65">
        <v>0</v>
      </c>
      <c r="F3" s="65">
        <v>0</v>
      </c>
      <c r="G3" s="24">
        <v>496.85409900000002</v>
      </c>
      <c r="H3" s="24">
        <v>0</v>
      </c>
      <c r="I3" s="24">
        <v>0</v>
      </c>
      <c r="J3" s="24">
        <v>0</v>
      </c>
      <c r="K3" s="66">
        <v>484.41524600000002</v>
      </c>
      <c r="L3" s="24">
        <v>0</v>
      </c>
      <c r="M3" s="24">
        <v>0</v>
      </c>
      <c r="N3" s="66">
        <v>0</v>
      </c>
      <c r="O3" s="153">
        <v>347.17142999999982</v>
      </c>
    </row>
    <row r="4" spans="2:15" s="65" customFormat="1">
      <c r="B4" s="4" t="s">
        <v>127</v>
      </c>
      <c r="C4" s="24">
        <v>445.26507400000003</v>
      </c>
      <c r="D4" s="24">
        <v>0</v>
      </c>
      <c r="E4" s="24">
        <v>0</v>
      </c>
      <c r="F4" s="24">
        <v>0</v>
      </c>
      <c r="G4" s="24">
        <v>370.568646</v>
      </c>
      <c r="H4" s="24">
        <v>0</v>
      </c>
      <c r="I4" s="24">
        <v>0</v>
      </c>
      <c r="J4" s="66">
        <v>0</v>
      </c>
      <c r="K4" s="66">
        <v>357.00376499999999</v>
      </c>
      <c r="L4" s="24">
        <v>0</v>
      </c>
      <c r="M4" s="24">
        <v>0</v>
      </c>
      <c r="N4" s="66">
        <v>0</v>
      </c>
      <c r="O4" s="153">
        <v>384.71202200000005</v>
      </c>
    </row>
    <row r="5" spans="2:15" s="65" customFormat="1">
      <c r="B5" s="4" t="s">
        <v>128</v>
      </c>
      <c r="C5" s="24"/>
      <c r="D5" s="24"/>
      <c r="E5" s="24"/>
      <c r="F5" s="24"/>
      <c r="G5" s="24"/>
      <c r="H5" s="24"/>
      <c r="I5" s="24"/>
      <c r="J5" s="66"/>
      <c r="K5" s="66"/>
      <c r="L5" s="24"/>
      <c r="M5" s="24"/>
      <c r="N5" s="66"/>
      <c r="O5" s="153">
        <v>663.78594100000009</v>
      </c>
    </row>
    <row r="6" spans="2:15" s="65" customFormat="1">
      <c r="B6" s="4" t="s">
        <v>129</v>
      </c>
      <c r="C6" s="24"/>
      <c r="D6" s="24"/>
      <c r="E6" s="24"/>
      <c r="F6" s="24"/>
      <c r="G6" s="24"/>
      <c r="H6" s="24"/>
      <c r="I6" s="24"/>
      <c r="J6" s="66"/>
      <c r="K6" s="66"/>
      <c r="L6" s="24"/>
      <c r="M6" s="24"/>
      <c r="N6" s="66"/>
      <c r="O6" s="66"/>
    </row>
    <row r="7" spans="2:15" s="65" customFormat="1">
      <c r="B7" s="4" t="s">
        <v>130</v>
      </c>
      <c r="C7" s="24"/>
      <c r="D7" s="24"/>
      <c r="E7" s="24"/>
      <c r="F7" s="24"/>
      <c r="G7" s="24"/>
      <c r="H7" s="24"/>
      <c r="I7" s="24"/>
      <c r="J7" s="66"/>
      <c r="K7" s="66"/>
      <c r="L7" s="24"/>
      <c r="M7" s="24"/>
      <c r="N7" s="66"/>
      <c r="O7" s="66"/>
    </row>
    <row r="8" spans="2:15" s="65" customFormat="1">
      <c r="B8" s="4" t="s">
        <v>141</v>
      </c>
      <c r="C8" s="24"/>
      <c r="D8" s="24"/>
      <c r="E8" s="24"/>
      <c r="F8" s="24"/>
      <c r="G8" s="24"/>
      <c r="H8" s="24"/>
      <c r="I8" s="24"/>
      <c r="J8" s="66"/>
      <c r="K8" s="66"/>
      <c r="L8" s="24"/>
      <c r="M8" s="24"/>
      <c r="N8" s="66"/>
      <c r="O8" s="66"/>
    </row>
    <row r="9" spans="2:15" s="65" customFormat="1">
      <c r="B9" s="4" t="s">
        <v>131</v>
      </c>
      <c r="C9" s="24"/>
      <c r="D9" s="24"/>
      <c r="E9" s="24"/>
      <c r="F9" s="24"/>
      <c r="G9" s="24"/>
      <c r="H9" s="24"/>
      <c r="I9" s="24"/>
      <c r="J9" s="66"/>
      <c r="K9" s="66"/>
      <c r="L9" s="24"/>
      <c r="M9" s="24"/>
      <c r="N9" s="66"/>
      <c r="O9" s="66"/>
    </row>
    <row r="10" spans="2:15" s="65" customFormat="1">
      <c r="B10" s="4" t="s">
        <v>132</v>
      </c>
      <c r="C10" s="24"/>
      <c r="D10" s="24"/>
      <c r="E10" s="24"/>
      <c r="F10" s="24"/>
      <c r="G10" s="24"/>
      <c r="H10" s="24"/>
      <c r="I10" s="24"/>
      <c r="J10" s="66"/>
      <c r="K10" s="66"/>
      <c r="L10" s="24"/>
      <c r="M10" s="24"/>
      <c r="N10" s="66"/>
      <c r="O10" s="66"/>
    </row>
    <row r="11" spans="2:15" s="65" customFormat="1">
      <c r="B11" s="4" t="s">
        <v>133</v>
      </c>
      <c r="C11" s="24"/>
      <c r="D11" s="24"/>
      <c r="E11" s="24"/>
      <c r="F11" s="24"/>
      <c r="G11" s="24"/>
      <c r="H11" s="24"/>
      <c r="I11" s="24"/>
      <c r="J11" s="66"/>
      <c r="K11" s="66"/>
      <c r="L11" s="24"/>
      <c r="M11" s="24"/>
      <c r="N11" s="66"/>
      <c r="O11" s="66"/>
    </row>
    <row r="12" spans="2:15" s="65" customFormat="1">
      <c r="B12" s="4" t="s">
        <v>134</v>
      </c>
      <c r="C12" s="24"/>
      <c r="D12" s="24"/>
      <c r="E12" s="24"/>
      <c r="F12" s="24"/>
      <c r="G12" s="24"/>
      <c r="H12" s="24"/>
      <c r="I12" s="24"/>
      <c r="J12" s="66"/>
      <c r="K12" s="66"/>
      <c r="L12" s="24"/>
      <c r="M12" s="24"/>
      <c r="N12" s="66"/>
      <c r="O12" s="66"/>
    </row>
    <row r="13" spans="2:15" s="65" customFormat="1">
      <c r="B13" s="4" t="s">
        <v>135</v>
      </c>
      <c r="C13" s="24"/>
      <c r="D13" s="24"/>
      <c r="E13" s="24"/>
      <c r="F13" s="24"/>
      <c r="G13" s="24"/>
      <c r="H13" s="24"/>
      <c r="I13" s="24"/>
      <c r="J13" s="66"/>
      <c r="K13" s="66"/>
      <c r="L13" s="24"/>
      <c r="M13" s="24"/>
      <c r="N13" s="66"/>
      <c r="O13" s="66"/>
    </row>
    <row r="14" spans="2:15" s="65" customFormat="1">
      <c r="B14" s="4" t="s">
        <v>136</v>
      </c>
      <c r="C14" s="24"/>
      <c r="D14" s="24"/>
      <c r="E14" s="24"/>
      <c r="F14" s="24"/>
      <c r="G14" s="24"/>
      <c r="H14" s="24"/>
      <c r="I14" s="24"/>
      <c r="J14" s="66"/>
      <c r="K14" s="66"/>
      <c r="L14" s="24"/>
      <c r="M14" s="24"/>
      <c r="N14" s="66"/>
      <c r="O14" s="66"/>
    </row>
    <row r="15" spans="2:15" s="65" customFormat="1">
      <c r="B15" s="4" t="s">
        <v>137</v>
      </c>
      <c r="C15" s="24"/>
      <c r="D15" s="24"/>
      <c r="E15" s="24"/>
      <c r="F15" s="24"/>
      <c r="G15" s="24"/>
      <c r="H15" s="24"/>
      <c r="I15" s="24"/>
      <c r="J15" s="66"/>
      <c r="K15" s="66"/>
      <c r="L15" s="24"/>
      <c r="M15" s="24"/>
      <c r="N15" s="66"/>
      <c r="O15" s="66"/>
    </row>
    <row r="16" spans="2:15" s="65" customFormat="1">
      <c r="B16" s="4" t="s">
        <v>138</v>
      </c>
      <c r="C16" s="24"/>
      <c r="D16" s="24"/>
      <c r="E16" s="24"/>
      <c r="F16" s="24"/>
      <c r="G16" s="24"/>
      <c r="H16" s="24"/>
      <c r="I16" s="24"/>
      <c r="J16" s="66"/>
      <c r="K16" s="66"/>
      <c r="L16" s="24"/>
      <c r="M16" s="24"/>
      <c r="N16" s="66"/>
      <c r="O16" s="66"/>
    </row>
    <row r="17" spans="2:15" s="65" customFormat="1">
      <c r="B17" s="4" t="s">
        <v>139</v>
      </c>
      <c r="C17" s="24"/>
      <c r="D17" s="24"/>
      <c r="E17" s="24"/>
      <c r="F17" s="24"/>
      <c r="G17" s="24"/>
      <c r="H17" s="24"/>
      <c r="I17" s="24"/>
      <c r="J17" s="66"/>
      <c r="K17" s="66"/>
      <c r="L17" s="24"/>
      <c r="M17" s="24"/>
      <c r="N17" s="66"/>
      <c r="O17" s="66"/>
    </row>
    <row r="18" spans="2:15" s="65" customFormat="1">
      <c r="B18" s="4" t="s">
        <v>140</v>
      </c>
      <c r="C18" s="24"/>
      <c r="D18" s="24"/>
      <c r="E18" s="24"/>
      <c r="F18" s="24"/>
      <c r="G18" s="24"/>
      <c r="H18" s="24"/>
      <c r="I18" s="24"/>
      <c r="J18" s="66"/>
      <c r="K18" s="66"/>
      <c r="L18" s="24"/>
      <c r="M18" s="24"/>
      <c r="N18" s="66"/>
      <c r="O18" s="66"/>
    </row>
    <row r="19" spans="2:15" s="65" customFormat="1">
      <c r="B19" s="4" t="s">
        <v>142</v>
      </c>
      <c r="C19" s="24"/>
      <c r="D19" s="24"/>
      <c r="E19" s="24"/>
      <c r="F19" s="24"/>
      <c r="G19" s="24"/>
      <c r="H19" s="24"/>
      <c r="I19" s="24"/>
      <c r="J19" s="66"/>
      <c r="K19" s="66"/>
      <c r="L19" s="24"/>
      <c r="M19" s="24"/>
      <c r="N19" s="66"/>
      <c r="O19" s="66"/>
    </row>
    <row r="20" spans="2:15" s="65" customFormat="1">
      <c r="B20" s="4" t="s">
        <v>143</v>
      </c>
      <c r="C20" s="24"/>
      <c r="D20" s="24"/>
      <c r="E20" s="24"/>
      <c r="F20" s="24"/>
      <c r="G20" s="24"/>
      <c r="H20" s="24"/>
      <c r="I20" s="24"/>
      <c r="J20" s="66"/>
      <c r="K20" s="66"/>
      <c r="L20" s="24"/>
      <c r="M20" s="24"/>
      <c r="N20" s="66"/>
      <c r="O20" s="66"/>
    </row>
    <row r="23" spans="2:15">
      <c r="L23" s="34"/>
      <c r="M23" s="34"/>
      <c r="N23" s="34"/>
      <c r="O23" s="34"/>
    </row>
    <row r="24" spans="2:15">
      <c r="L24" s="34"/>
      <c r="M24" s="34"/>
      <c r="N24" s="34"/>
      <c r="O24" s="34"/>
    </row>
  </sheetData>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17"/>
  <sheetViews>
    <sheetView zoomScale="90" zoomScaleNormal="90" workbookViewId="0">
      <selection activeCell="D21" sqref="D21"/>
    </sheetView>
  </sheetViews>
  <sheetFormatPr defaultColWidth="9" defaultRowHeight="14.4"/>
  <cols>
    <col min="1" max="1" width="3.09765625" style="8" customWidth="1"/>
    <col min="2" max="2" width="27.09765625" style="8" bestFit="1" customWidth="1"/>
    <col min="3" max="3" width="15" style="8" bestFit="1" customWidth="1"/>
    <col min="4" max="4" width="9.5" style="8" bestFit="1" customWidth="1"/>
    <col min="5" max="5" width="8.5" style="8" bestFit="1" customWidth="1"/>
    <col min="6" max="6" width="12.59765625" style="8" customWidth="1"/>
    <col min="7" max="16384" width="9" style="8"/>
  </cols>
  <sheetData>
    <row r="1" spans="2:6">
      <c r="B1" s="246" t="s">
        <v>106</v>
      </c>
      <c r="C1" s="246"/>
      <c r="D1" s="246"/>
      <c r="E1" s="246"/>
    </row>
    <row r="2" spans="2:6">
      <c r="B2" s="64" t="s">
        <v>3</v>
      </c>
      <c r="C2" s="64" t="str">
        <f>'收入、毛利率构成表'!C2</f>
        <v>2020年1-6月</v>
      </c>
      <c r="D2" s="64" t="str">
        <f>'收入、毛利率构成表'!G2</f>
        <v>2019年</v>
      </c>
      <c r="E2" s="58" t="str">
        <f>'收入、毛利率构成表'!K2</f>
        <v>2018年</v>
      </c>
    </row>
    <row r="3" spans="2:6">
      <c r="B3" s="9" t="s">
        <v>861</v>
      </c>
      <c r="C3" s="9">
        <v>26.020562999999996</v>
      </c>
      <c r="D3" s="154">
        <v>0.594387</v>
      </c>
      <c r="E3" s="23">
        <v>0</v>
      </c>
      <c r="F3" s="21"/>
    </row>
    <row r="4" spans="2:6">
      <c r="B4" s="9" t="s">
        <v>862</v>
      </c>
      <c r="C4" s="9">
        <v>0</v>
      </c>
      <c r="D4" s="154">
        <v>9.0312529999999995</v>
      </c>
      <c r="E4" s="23">
        <v>0</v>
      </c>
      <c r="F4" s="21"/>
    </row>
    <row r="5" spans="2:6">
      <c r="B5" s="9" t="s">
        <v>863</v>
      </c>
      <c r="C5" s="9">
        <v>0</v>
      </c>
      <c r="D5" s="9">
        <v>0</v>
      </c>
      <c r="E5" s="23">
        <v>11.135683999999999</v>
      </c>
      <c r="F5" s="22"/>
    </row>
    <row r="6" spans="2:6">
      <c r="B6" s="9" t="s">
        <v>864</v>
      </c>
      <c r="C6" s="9">
        <v>0.35016900000000001</v>
      </c>
      <c r="D6" s="154">
        <v>16.163732</v>
      </c>
      <c r="E6" s="23">
        <v>0.80853900000000001</v>
      </c>
      <c r="F6" s="22"/>
    </row>
    <row r="7" spans="2:6">
      <c r="B7" s="10" t="s">
        <v>28</v>
      </c>
      <c r="C7" s="24">
        <f>SUM(C3:C6)</f>
        <v>26.370731999999997</v>
      </c>
      <c r="D7" s="24">
        <f>SUM(D3:D6)</f>
        <v>25.789372</v>
      </c>
      <c r="E7" s="24">
        <f>SUM(E3:E6)</f>
        <v>11.944222999999999</v>
      </c>
    </row>
    <row r="8" spans="2:6">
      <c r="C8" s="43" t="b">
        <f>C7='报告（自动生成）'!C19</f>
        <v>1</v>
      </c>
      <c r="D8" s="43"/>
      <c r="E8" s="43"/>
    </row>
    <row r="9" spans="2:6">
      <c r="B9" s="245" t="s">
        <v>107</v>
      </c>
      <c r="C9" s="245"/>
      <c r="D9" s="245"/>
      <c r="E9" s="245"/>
    </row>
    <row r="10" spans="2:6">
      <c r="B10" s="64" t="s">
        <v>3</v>
      </c>
      <c r="C10" s="64" t="str">
        <f>'收入、毛利率构成表'!C2</f>
        <v>2020年1-6月</v>
      </c>
      <c r="D10" s="64" t="str">
        <f>'收入、毛利率构成表'!G2</f>
        <v>2019年</v>
      </c>
      <c r="E10" s="58" t="str">
        <f>'收入、毛利率构成表'!K2</f>
        <v>2018年</v>
      </c>
    </row>
    <row r="11" spans="2:6">
      <c r="B11" s="9" t="s">
        <v>865</v>
      </c>
      <c r="C11" s="154">
        <v>0.19759699999999999</v>
      </c>
      <c r="D11" s="9">
        <v>0.22130100000000003</v>
      </c>
      <c r="E11" s="19">
        <v>0</v>
      </c>
    </row>
    <row r="12" spans="2:6">
      <c r="B12" s="9" t="s">
        <v>866</v>
      </c>
      <c r="C12" s="9">
        <v>0.28999999999999998</v>
      </c>
      <c r="D12" s="9">
        <v>4.9192E-2</v>
      </c>
      <c r="E12" s="19">
        <v>0</v>
      </c>
    </row>
    <row r="13" spans="2:6">
      <c r="B13" s="9" t="s">
        <v>867</v>
      </c>
      <c r="C13" s="9">
        <v>0.08</v>
      </c>
      <c r="D13" s="154">
        <v>0</v>
      </c>
      <c r="E13" s="19">
        <v>0.1</v>
      </c>
    </row>
    <row r="14" spans="2:6">
      <c r="B14" s="9" t="s">
        <v>868</v>
      </c>
      <c r="C14" s="9">
        <v>0</v>
      </c>
      <c r="D14" s="154">
        <v>3.6810000000000002E-3</v>
      </c>
      <c r="E14" s="19">
        <v>41.336100000000002</v>
      </c>
    </row>
    <row r="15" spans="2:6">
      <c r="B15" s="9" t="s">
        <v>869</v>
      </c>
      <c r="C15" s="154">
        <v>0</v>
      </c>
      <c r="D15" s="154">
        <v>0.62001800000000007</v>
      </c>
      <c r="E15" s="19">
        <v>2.9412859999999998</v>
      </c>
    </row>
    <row r="16" spans="2:6">
      <c r="B16" s="10" t="s">
        <v>28</v>
      </c>
      <c r="C16" s="24">
        <f>SUM(C11:C15)</f>
        <v>0.56759699999999991</v>
      </c>
      <c r="D16" s="24">
        <f t="shared" ref="D16:E16" si="0">SUM(D11:D15)</f>
        <v>0.8941920000000001</v>
      </c>
      <c r="E16" s="24">
        <f t="shared" si="0"/>
        <v>44.377386000000001</v>
      </c>
    </row>
    <row r="17" spans="3:3">
      <c r="C17" s="8" t="b">
        <f>C16='报告（自动生成）'!C20</f>
        <v>1</v>
      </c>
    </row>
  </sheetData>
  <mergeCells count="2">
    <mergeCell ref="B1:E1"/>
    <mergeCell ref="B9:E9"/>
  </mergeCells>
  <phoneticPr fontId="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B1:O10"/>
  <sheetViews>
    <sheetView zoomScale="90" zoomScaleNormal="90" workbookViewId="0">
      <selection activeCell="H17" sqref="H17"/>
    </sheetView>
  </sheetViews>
  <sheetFormatPr defaultColWidth="8.59765625" defaultRowHeight="14.4"/>
  <cols>
    <col min="1" max="1" width="2.59765625" style="8" customWidth="1"/>
    <col min="2" max="2" width="14.09765625" style="8" customWidth="1"/>
    <col min="3" max="3" width="8.59765625" style="8"/>
    <col min="4" max="4" width="16.3984375" style="8" customWidth="1"/>
    <col min="5" max="5" width="16.8984375" style="8" customWidth="1"/>
    <col min="6" max="6" width="13.8984375" style="34" bestFit="1" customWidth="1"/>
    <col min="7" max="7" width="8.59765625" style="8"/>
    <col min="8" max="8" width="17.09765625" style="8" customWidth="1"/>
    <col min="9" max="9" width="18.09765625" style="8" customWidth="1"/>
    <col min="10" max="10" width="13.8984375" style="226" bestFit="1" customWidth="1"/>
    <col min="11" max="11" width="8.59765625" style="8"/>
    <col min="12" max="12" width="20" style="8" customWidth="1"/>
    <col min="13" max="13" width="17.5" style="8" customWidth="1"/>
    <col min="14" max="14" width="13.8984375" style="226" bestFit="1" customWidth="1"/>
    <col min="15" max="16384" width="8.59765625" style="8"/>
  </cols>
  <sheetData>
    <row r="1" spans="2:15">
      <c r="B1" s="80"/>
      <c r="C1" s="57"/>
      <c r="D1" s="57"/>
      <c r="E1" s="57"/>
      <c r="F1" s="227"/>
      <c r="G1" s="57"/>
      <c r="H1" s="57"/>
      <c r="I1" s="57"/>
      <c r="J1" s="223"/>
    </row>
    <row r="2" spans="2:15" ht="15.6" customHeight="1">
      <c r="B2" s="238" t="s">
        <v>161</v>
      </c>
      <c r="C2" s="238" t="str">
        <f>'收入、毛利率构成表'!C2</f>
        <v>2020年1-6月</v>
      </c>
      <c r="D2" s="238"/>
      <c r="E2" s="238"/>
      <c r="F2" s="238"/>
      <c r="G2" s="238" t="str">
        <f>'收入、毛利率构成表'!G2</f>
        <v>2019年</v>
      </c>
      <c r="H2" s="238"/>
      <c r="I2" s="238"/>
      <c r="J2" s="238"/>
      <c r="K2" s="238" t="str">
        <f>'收入、毛利率构成表'!K2</f>
        <v>2018年</v>
      </c>
      <c r="L2" s="238"/>
      <c r="M2" s="238"/>
      <c r="N2" s="238"/>
      <c r="O2" s="8" t="s">
        <v>1048</v>
      </c>
    </row>
    <row r="3" spans="2:15">
      <c r="B3" s="238"/>
      <c r="C3" s="84" t="s">
        <v>162</v>
      </c>
      <c r="D3" s="84" t="s">
        <v>302</v>
      </c>
      <c r="E3" s="84" t="s">
        <v>304</v>
      </c>
      <c r="F3" s="228" t="s">
        <v>305</v>
      </c>
      <c r="G3" s="84" t="s">
        <v>162</v>
      </c>
      <c r="H3" s="84" t="s">
        <v>301</v>
      </c>
      <c r="I3" s="84" t="s">
        <v>303</v>
      </c>
      <c r="J3" s="224" t="s">
        <v>305</v>
      </c>
      <c r="K3" s="84" t="s">
        <v>162</v>
      </c>
      <c r="L3" s="84" t="s">
        <v>301</v>
      </c>
      <c r="M3" s="84" t="s">
        <v>303</v>
      </c>
      <c r="N3" s="224" t="s">
        <v>305</v>
      </c>
    </row>
    <row r="4" spans="2:15">
      <c r="B4" s="83" t="s">
        <v>1042</v>
      </c>
      <c r="C4" s="81">
        <v>7</v>
      </c>
      <c r="D4" s="82">
        <v>1709864</v>
      </c>
      <c r="E4" s="82">
        <v>171500</v>
      </c>
      <c r="F4" s="124">
        <v>44794.380952380954</v>
      </c>
      <c r="G4" s="81">
        <v>5</v>
      </c>
      <c r="H4" s="82">
        <v>3823804</v>
      </c>
      <c r="I4" s="82">
        <v>715905</v>
      </c>
      <c r="J4" s="225">
        <v>75661.816666666666</v>
      </c>
      <c r="K4" s="81">
        <v>7</v>
      </c>
      <c r="L4" s="82">
        <v>5984376</v>
      </c>
      <c r="M4" s="82">
        <v>742659</v>
      </c>
      <c r="N4" s="225">
        <v>80083.75</v>
      </c>
    </row>
    <row r="5" spans="2:15">
      <c r="B5" s="83" t="s">
        <v>1043</v>
      </c>
      <c r="C5" s="81">
        <v>110</v>
      </c>
      <c r="D5" s="82">
        <v>10287292</v>
      </c>
      <c r="E5" s="82">
        <v>1366750</v>
      </c>
      <c r="F5" s="124">
        <v>17657.639393939393</v>
      </c>
      <c r="G5" s="81">
        <v>113</v>
      </c>
      <c r="H5" s="82">
        <v>22189543</v>
      </c>
      <c r="I5" s="82">
        <v>4219218</v>
      </c>
      <c r="J5" s="225">
        <v>19475.487463126843</v>
      </c>
      <c r="K5" s="81">
        <v>141</v>
      </c>
      <c r="L5" s="82">
        <v>24798166</v>
      </c>
      <c r="M5" s="82">
        <v>4240845</v>
      </c>
      <c r="N5" s="225">
        <v>17162.536052009458</v>
      </c>
    </row>
    <row r="6" spans="2:15">
      <c r="B6" s="83" t="s">
        <v>1044</v>
      </c>
      <c r="C6" s="81">
        <v>50</v>
      </c>
      <c r="D6" s="82">
        <v>5319006</v>
      </c>
      <c r="E6" s="82">
        <v>752366</v>
      </c>
      <c r="F6" s="124">
        <v>20237.906666666666</v>
      </c>
      <c r="G6" s="81">
        <v>60</v>
      </c>
      <c r="H6" s="82">
        <v>13133777</v>
      </c>
      <c r="I6" s="82">
        <v>2221494</v>
      </c>
      <c r="J6" s="225">
        <v>21326.765277777777</v>
      </c>
      <c r="K6" s="81">
        <v>57</v>
      </c>
      <c r="L6" s="82">
        <v>9639323</v>
      </c>
      <c r="M6" s="82">
        <v>1705149</v>
      </c>
      <c r="N6" s="225">
        <v>16585.485380116959</v>
      </c>
    </row>
    <row r="7" spans="2:15">
      <c r="B7" s="83" t="s">
        <v>1045</v>
      </c>
      <c r="C7" s="81">
        <v>30</v>
      </c>
      <c r="D7" s="82">
        <v>1726042</v>
      </c>
      <c r="E7" s="82">
        <v>241173</v>
      </c>
      <c r="F7" s="124">
        <v>10928.972222222221</v>
      </c>
      <c r="G7" s="81">
        <v>25</v>
      </c>
      <c r="H7" s="82">
        <v>3208663</v>
      </c>
      <c r="I7" s="82">
        <v>504173</v>
      </c>
      <c r="J7" s="225">
        <v>12376.12</v>
      </c>
      <c r="K7" s="81">
        <v>19</v>
      </c>
      <c r="L7" s="82">
        <v>2584288</v>
      </c>
      <c r="M7" s="82">
        <v>230333</v>
      </c>
      <c r="N7" s="225">
        <v>12344.82894736842</v>
      </c>
    </row>
    <row r="8" spans="2:15">
      <c r="B8" s="83" t="s">
        <v>1046</v>
      </c>
      <c r="C8" s="81">
        <v>15</v>
      </c>
      <c r="D8" s="82">
        <v>744289</v>
      </c>
      <c r="E8" s="82">
        <v>131495</v>
      </c>
      <c r="F8" s="124">
        <v>9730.9333333333325</v>
      </c>
      <c r="G8" s="81">
        <v>15</v>
      </c>
      <c r="H8" s="82">
        <v>1810276</v>
      </c>
      <c r="I8" s="82">
        <v>420107</v>
      </c>
      <c r="J8" s="225">
        <v>12391.016666666668</v>
      </c>
      <c r="K8" s="81">
        <v>22</v>
      </c>
      <c r="L8" s="82">
        <v>2422738</v>
      </c>
      <c r="M8" s="82">
        <v>585280</v>
      </c>
      <c r="N8" s="225">
        <v>11394.007575757576</v>
      </c>
    </row>
    <row r="9" spans="2:15">
      <c r="B9" s="83" t="s">
        <v>1047</v>
      </c>
      <c r="C9" s="81">
        <v>12</v>
      </c>
      <c r="D9" s="82">
        <v>1008828</v>
      </c>
      <c r="E9" s="82">
        <v>125239</v>
      </c>
      <c r="F9" s="124">
        <v>15750.930555555555</v>
      </c>
      <c r="G9" s="81">
        <v>12</v>
      </c>
      <c r="H9" s="82">
        <v>2013962</v>
      </c>
      <c r="I9" s="82">
        <v>321324</v>
      </c>
      <c r="J9" s="225">
        <v>16217.263888888889</v>
      </c>
      <c r="K9" s="81">
        <v>13</v>
      </c>
      <c r="L9" s="82">
        <v>1634483</v>
      </c>
      <c r="M9" s="82">
        <v>261432</v>
      </c>
      <c r="N9" s="225">
        <v>12153.301282051281</v>
      </c>
    </row>
    <row r="10" spans="2:15">
      <c r="B10" s="83" t="s">
        <v>28</v>
      </c>
      <c r="C10" s="124">
        <f>SUM(C4:C9)</f>
        <v>224</v>
      </c>
      <c r="D10" s="82">
        <f>SUM(D4:D9)</f>
        <v>20795321</v>
      </c>
      <c r="E10" s="82">
        <f>SUM(E4:E9)</f>
        <v>2788523</v>
      </c>
      <c r="F10" s="124">
        <f t="shared" ref="F10" si="0">(D10+E10)/C10/6</f>
        <v>17547.502976190477</v>
      </c>
      <c r="G10" s="124">
        <f>SUM(G4:G9)</f>
        <v>230</v>
      </c>
      <c r="H10" s="82">
        <f>SUM(H4:H9)</f>
        <v>46180025</v>
      </c>
      <c r="I10" s="82">
        <f>SUM(I4:I9)</f>
        <v>8402221</v>
      </c>
      <c r="J10" s="225">
        <f t="shared" ref="J10" si="1">(H10+I10)/G10/12</f>
        <v>19776.176086956522</v>
      </c>
      <c r="K10" s="124">
        <f>SUM(K4:K9)</f>
        <v>259</v>
      </c>
      <c r="L10" s="82">
        <f>SUM(L4:L9)</f>
        <v>47063374</v>
      </c>
      <c r="M10" s="82">
        <f>SUM(M4:M9)</f>
        <v>7765698</v>
      </c>
      <c r="N10" s="225">
        <f t="shared" ref="N10" si="2">(L10+M10)/K10/12</f>
        <v>17641.271557271557</v>
      </c>
    </row>
  </sheetData>
  <mergeCells count="4">
    <mergeCell ref="G2:J2"/>
    <mergeCell ref="K2:N2"/>
    <mergeCell ref="B2:B3"/>
    <mergeCell ref="C2:F2"/>
  </mergeCells>
  <phoneticPr fontId="6"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4"/>
  <sheetViews>
    <sheetView topLeftCell="A22" zoomScale="90" zoomScaleNormal="90" workbookViewId="0">
      <selection activeCell="J37" sqref="J37"/>
    </sheetView>
  </sheetViews>
  <sheetFormatPr defaultColWidth="8.09765625" defaultRowHeight="15.6"/>
  <cols>
    <col min="1" max="1" width="37.8984375" style="171" customWidth="1"/>
    <col min="2" max="2" width="26" style="171" bestFit="1" customWidth="1"/>
    <col min="3" max="3" width="13.8984375" style="171" bestFit="1" customWidth="1"/>
    <col min="4" max="4" width="9.5" style="182" bestFit="1" customWidth="1"/>
    <col min="5" max="5" width="33.59765625" style="171" bestFit="1" customWidth="1"/>
    <col min="6" max="16384" width="8.09765625" style="171"/>
  </cols>
  <sheetData>
    <row r="1" spans="1:5">
      <c r="A1" s="13" t="s">
        <v>885</v>
      </c>
      <c r="B1" s="39">
        <v>44012</v>
      </c>
      <c r="C1"/>
      <c r="D1" s="170"/>
    </row>
    <row r="2" spans="1:5">
      <c r="A2" s="172" t="s">
        <v>3</v>
      </c>
      <c r="B2" s="172" t="s">
        <v>44</v>
      </c>
      <c r="C2"/>
      <c r="D2" s="170"/>
    </row>
    <row r="3" spans="1:5">
      <c r="A3" s="4" t="s">
        <v>886</v>
      </c>
      <c r="B3" s="173">
        <v>15.824366999999999</v>
      </c>
      <c r="C3" s="187"/>
      <c r="D3" s="170"/>
    </row>
    <row r="4" spans="1:5">
      <c r="A4" s="4" t="s">
        <v>887</v>
      </c>
      <c r="B4" s="173">
        <v>607.68571200000008</v>
      </c>
      <c r="C4" s="187"/>
      <c r="D4" s="170"/>
    </row>
    <row r="5" spans="1:5">
      <c r="A5" s="4" t="s">
        <v>888</v>
      </c>
      <c r="B5" s="175"/>
      <c r="C5"/>
      <c r="D5" s="170"/>
    </row>
    <row r="6" spans="1:5">
      <c r="A6" s="4" t="s">
        <v>28</v>
      </c>
      <c r="B6" s="175">
        <f>SUM(B3:B5)</f>
        <v>623.51007900000013</v>
      </c>
      <c r="C6" s="176"/>
      <c r="D6" s="176"/>
      <c r="E6" s="176"/>
    </row>
    <row r="7" spans="1:5">
      <c r="A7"/>
      <c r="B7"/>
      <c r="C7"/>
      <c r="D7" s="170"/>
    </row>
    <row r="8" spans="1:5">
      <c r="A8" s="13" t="s">
        <v>889</v>
      </c>
      <c r="B8"/>
      <c r="C8"/>
      <c r="D8" s="170"/>
    </row>
    <row r="9" spans="1:5">
      <c r="A9" s="177" t="s">
        <v>57</v>
      </c>
      <c r="B9" s="177" t="s">
        <v>44</v>
      </c>
      <c r="C9"/>
      <c r="D9" s="170"/>
    </row>
    <row r="10" spans="1:5">
      <c r="A10" s="4"/>
      <c r="B10" s="178"/>
      <c r="C10"/>
      <c r="D10" s="170"/>
    </row>
    <row r="11" spans="1:5">
      <c r="A11"/>
      <c r="B11"/>
      <c r="C11"/>
      <c r="D11" s="170"/>
    </row>
    <row r="12" spans="1:5">
      <c r="A12" s="13" t="s">
        <v>890</v>
      </c>
      <c r="B12"/>
      <c r="C12"/>
      <c r="D12" s="170"/>
    </row>
    <row r="13" spans="1:5">
      <c r="A13" s="177" t="s">
        <v>891</v>
      </c>
      <c r="B13" s="177" t="s">
        <v>892</v>
      </c>
      <c r="C13" s="177" t="s">
        <v>893</v>
      </c>
      <c r="D13" s="179" t="s">
        <v>44</v>
      </c>
      <c r="E13" s="179" t="s">
        <v>894</v>
      </c>
    </row>
    <row r="14" spans="1:5">
      <c r="A14" s="180" t="s">
        <v>895</v>
      </c>
      <c r="B14" s="184" t="s">
        <v>962</v>
      </c>
      <c r="C14" s="180" t="s">
        <v>896</v>
      </c>
      <c r="D14" s="185">
        <v>0.33399000000000001</v>
      </c>
      <c r="E14" s="180" t="s">
        <v>897</v>
      </c>
    </row>
    <row r="15" spans="1:5">
      <c r="A15" s="180" t="s">
        <v>898</v>
      </c>
      <c r="B15" s="184" t="s">
        <v>963</v>
      </c>
      <c r="C15" s="180" t="s">
        <v>896</v>
      </c>
      <c r="D15" s="185">
        <v>0.14000000000000001</v>
      </c>
      <c r="E15" s="180" t="s">
        <v>897</v>
      </c>
    </row>
    <row r="16" spans="1:5">
      <c r="A16" s="180" t="s">
        <v>899</v>
      </c>
      <c r="B16" s="180" t="s">
        <v>900</v>
      </c>
      <c r="C16" s="180" t="s">
        <v>896</v>
      </c>
      <c r="D16" s="185">
        <v>108.731086</v>
      </c>
      <c r="E16" s="180" t="s">
        <v>897</v>
      </c>
    </row>
    <row r="17" spans="1:5">
      <c r="A17" s="180" t="s">
        <v>901</v>
      </c>
      <c r="B17" s="180" t="s">
        <v>902</v>
      </c>
      <c r="C17" s="180" t="s">
        <v>903</v>
      </c>
      <c r="D17" s="185">
        <v>6.271954</v>
      </c>
      <c r="E17" s="180" t="s">
        <v>897</v>
      </c>
    </row>
    <row r="18" spans="1:5">
      <c r="A18" s="180" t="s">
        <v>904</v>
      </c>
      <c r="B18" s="183" t="s">
        <v>961</v>
      </c>
      <c r="C18" s="180" t="s">
        <v>896</v>
      </c>
      <c r="D18" s="185">
        <v>5.0000000000000002E-5</v>
      </c>
      <c r="E18" s="180" t="s">
        <v>897</v>
      </c>
    </row>
    <row r="19" spans="1:5">
      <c r="A19" s="180" t="s">
        <v>905</v>
      </c>
      <c r="B19" s="180" t="s">
        <v>906</v>
      </c>
      <c r="C19" s="180" t="s">
        <v>896</v>
      </c>
      <c r="D19" s="185">
        <v>11.744116999999999</v>
      </c>
      <c r="E19" s="180" t="s">
        <v>907</v>
      </c>
    </row>
    <row r="20" spans="1:5">
      <c r="A20" s="180" t="s">
        <v>908</v>
      </c>
      <c r="B20" s="180" t="s">
        <v>909</v>
      </c>
      <c r="C20" s="180" t="s">
        <v>910</v>
      </c>
      <c r="D20" s="185">
        <v>1.209236</v>
      </c>
      <c r="E20" s="180" t="s">
        <v>911</v>
      </c>
    </row>
    <row r="21" spans="1:5">
      <c r="A21" s="180" t="s">
        <v>912</v>
      </c>
      <c r="B21" s="180" t="s">
        <v>913</v>
      </c>
      <c r="C21" s="180" t="s">
        <v>914</v>
      </c>
      <c r="D21" s="185">
        <v>4.8298879999999995</v>
      </c>
      <c r="E21" s="180" t="s">
        <v>911</v>
      </c>
    </row>
    <row r="22" spans="1:5">
      <c r="A22" s="180" t="s">
        <v>915</v>
      </c>
      <c r="B22" s="180" t="s">
        <v>916</v>
      </c>
      <c r="C22" s="180" t="s">
        <v>914</v>
      </c>
      <c r="D22" s="185">
        <v>1.9666560000000002</v>
      </c>
      <c r="E22" s="180" t="s">
        <v>911</v>
      </c>
    </row>
    <row r="23" spans="1:5">
      <c r="A23" s="180" t="s">
        <v>917</v>
      </c>
      <c r="B23" s="180" t="s">
        <v>918</v>
      </c>
      <c r="C23" s="180" t="s">
        <v>903</v>
      </c>
      <c r="D23" s="185">
        <v>0.28494899999999995</v>
      </c>
      <c r="E23" s="180" t="s">
        <v>919</v>
      </c>
    </row>
    <row r="24" spans="1:5">
      <c r="A24" s="180" t="s">
        <v>917</v>
      </c>
      <c r="B24" s="180" t="s">
        <v>920</v>
      </c>
      <c r="C24" s="180" t="s">
        <v>903</v>
      </c>
      <c r="D24" s="185">
        <v>4.5631999999999999E-2</v>
      </c>
      <c r="E24" s="180" t="s">
        <v>921</v>
      </c>
    </row>
    <row r="25" spans="1:5">
      <c r="A25" s="180" t="s">
        <v>922</v>
      </c>
      <c r="B25" s="181" t="s">
        <v>923</v>
      </c>
      <c r="C25" s="180" t="s">
        <v>903</v>
      </c>
      <c r="D25" s="185">
        <v>101.89435300000001</v>
      </c>
      <c r="E25" s="180" t="s">
        <v>924</v>
      </c>
    </row>
    <row r="26" spans="1:5">
      <c r="A26" s="180" t="s">
        <v>925</v>
      </c>
      <c r="B26" s="181" t="s">
        <v>926</v>
      </c>
      <c r="C26" s="180" t="s">
        <v>896</v>
      </c>
      <c r="D26" s="185">
        <v>300.06969800000002</v>
      </c>
      <c r="E26" s="180" t="s">
        <v>924</v>
      </c>
    </row>
    <row r="27" spans="1:5">
      <c r="A27" s="180" t="s">
        <v>927</v>
      </c>
      <c r="B27" s="181" t="s">
        <v>928</v>
      </c>
      <c r="C27" s="180" t="s">
        <v>896</v>
      </c>
      <c r="D27" s="185">
        <v>27.450493999999999</v>
      </c>
      <c r="E27" s="180" t="s">
        <v>924</v>
      </c>
    </row>
    <row r="28" spans="1:5">
      <c r="A28" s="180" t="s">
        <v>929</v>
      </c>
      <c r="B28" s="180" t="s">
        <v>930</v>
      </c>
      <c r="C28" s="180" t="s">
        <v>903</v>
      </c>
      <c r="D28" s="185">
        <v>0.549095</v>
      </c>
      <c r="E28" s="180" t="s">
        <v>832</v>
      </c>
    </row>
    <row r="29" spans="1:5">
      <c r="A29" s="180" t="s">
        <v>929</v>
      </c>
      <c r="B29" s="180" t="s">
        <v>931</v>
      </c>
      <c r="C29" s="180" t="s">
        <v>896</v>
      </c>
      <c r="D29" s="185">
        <v>0.05</v>
      </c>
      <c r="E29" s="180" t="s">
        <v>832</v>
      </c>
    </row>
    <row r="30" spans="1:5">
      <c r="A30" s="180" t="s">
        <v>932</v>
      </c>
      <c r="B30" s="180" t="s">
        <v>933</v>
      </c>
      <c r="C30" s="180" t="s">
        <v>910</v>
      </c>
      <c r="D30" s="185">
        <v>1.7225000000000001E-2</v>
      </c>
      <c r="E30" s="180" t="s">
        <v>934</v>
      </c>
    </row>
    <row r="31" spans="1:5">
      <c r="A31" s="180" t="s">
        <v>935</v>
      </c>
      <c r="B31" s="180" t="s">
        <v>936</v>
      </c>
      <c r="C31" s="180" t="s">
        <v>903</v>
      </c>
      <c r="D31" s="185">
        <v>3.0260999999998199E-2</v>
      </c>
      <c r="E31" s="180" t="s">
        <v>826</v>
      </c>
    </row>
    <row r="32" spans="1:5">
      <c r="A32" s="180" t="s">
        <v>937</v>
      </c>
      <c r="B32" s="181" t="s">
        <v>938</v>
      </c>
      <c r="C32" s="180"/>
      <c r="D32" s="185">
        <v>13.090954</v>
      </c>
      <c r="E32" s="180" t="s">
        <v>939</v>
      </c>
    </row>
    <row r="33" spans="1:5">
      <c r="A33" s="180" t="s">
        <v>937</v>
      </c>
      <c r="B33" s="181" t="s">
        <v>940</v>
      </c>
      <c r="C33" s="180"/>
      <c r="D33" s="185">
        <v>0.451351</v>
      </c>
      <c r="E33" s="180" t="s">
        <v>941</v>
      </c>
    </row>
    <row r="34" spans="1:5">
      <c r="A34" s="180" t="s">
        <v>942</v>
      </c>
      <c r="B34" s="180" t="s">
        <v>943</v>
      </c>
      <c r="C34" s="180" t="s">
        <v>910</v>
      </c>
      <c r="D34" s="185">
        <v>3.6774000000000001E-2</v>
      </c>
      <c r="E34" s="180" t="s">
        <v>944</v>
      </c>
    </row>
  </sheetData>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R43"/>
  <sheetViews>
    <sheetView topLeftCell="B10" zoomScale="90" zoomScaleNormal="90" workbookViewId="0">
      <selection activeCell="D26" sqref="D26"/>
    </sheetView>
  </sheetViews>
  <sheetFormatPr defaultColWidth="9" defaultRowHeight="14.4"/>
  <cols>
    <col min="1" max="1" width="2.8984375" style="8" customWidth="1"/>
    <col min="2" max="2" width="8" style="8" customWidth="1"/>
    <col min="3" max="3" width="38" style="8" bestFit="1" customWidth="1"/>
    <col min="4" max="5" width="18.09765625" style="8" customWidth="1"/>
    <col min="6" max="6" width="17.09765625" style="8" bestFit="1" customWidth="1"/>
    <col min="7" max="10" width="15" style="8" bestFit="1" customWidth="1"/>
    <col min="11" max="11" width="17.09765625" style="8" bestFit="1" customWidth="1"/>
    <col min="12" max="16384" width="9" style="8"/>
  </cols>
  <sheetData>
    <row r="1" spans="2:18">
      <c r="B1" s="13" t="s">
        <v>313</v>
      </c>
      <c r="K1" s="39">
        <f>货币资金!B1</f>
        <v>44012</v>
      </c>
    </row>
    <row r="2" spans="2:18">
      <c r="B2" s="58" t="s">
        <v>42</v>
      </c>
      <c r="C2" s="58" t="s">
        <v>43</v>
      </c>
      <c r="D2" s="58" t="s">
        <v>44</v>
      </c>
      <c r="E2" s="58" t="s">
        <v>27</v>
      </c>
      <c r="F2" s="58" t="s">
        <v>306</v>
      </c>
      <c r="G2" s="58" t="s">
        <v>307</v>
      </c>
      <c r="H2" s="58" t="s">
        <v>308</v>
      </c>
      <c r="I2" s="58" t="s">
        <v>309</v>
      </c>
      <c r="J2" s="58" t="s">
        <v>310</v>
      </c>
      <c r="K2" s="58" t="s">
        <v>311</v>
      </c>
    </row>
    <row r="3" spans="2:18">
      <c r="B3" s="11">
        <v>1</v>
      </c>
      <c r="C3" s="146" t="s">
        <v>388</v>
      </c>
      <c r="D3" s="109">
        <v>516</v>
      </c>
      <c r="E3" s="49">
        <f>D3/$D$23</f>
        <v>0.11460126548167567</v>
      </c>
      <c r="F3" s="10">
        <v>0.96</v>
      </c>
      <c r="G3" s="10">
        <v>515.04</v>
      </c>
      <c r="H3" s="10">
        <v>0</v>
      </c>
      <c r="I3" s="10">
        <v>0</v>
      </c>
      <c r="J3" s="10">
        <v>0</v>
      </c>
      <c r="K3" s="10"/>
      <c r="L3" s="43"/>
      <c r="M3" s="43"/>
      <c r="N3" s="43"/>
      <c r="O3" s="43"/>
      <c r="P3" s="43"/>
      <c r="Q3" s="43"/>
      <c r="R3" s="43"/>
    </row>
    <row r="4" spans="2:18">
      <c r="B4" s="11">
        <v>2</v>
      </c>
      <c r="C4" s="146" t="s">
        <v>389</v>
      </c>
      <c r="D4" s="109">
        <v>445.94355400000001</v>
      </c>
      <c r="E4" s="49">
        <f t="shared" ref="E4:E22" si="0">D4/$D$23</f>
        <v>9.9042045778674356E-2</v>
      </c>
      <c r="F4" s="10">
        <v>445.94355399999989</v>
      </c>
      <c r="G4" s="10">
        <v>0</v>
      </c>
      <c r="H4" s="10">
        <v>0</v>
      </c>
      <c r="I4" s="109">
        <v>9.3132257461547856E-14</v>
      </c>
      <c r="J4" s="10">
        <v>0</v>
      </c>
      <c r="K4" s="10"/>
      <c r="L4" s="43"/>
      <c r="M4" s="43"/>
      <c r="N4" s="43"/>
      <c r="O4" s="43"/>
      <c r="P4" s="43"/>
      <c r="Q4" s="43"/>
      <c r="R4" s="43"/>
    </row>
    <row r="5" spans="2:18">
      <c r="B5" s="11">
        <v>3</v>
      </c>
      <c r="C5" s="146" t="s">
        <v>390</v>
      </c>
      <c r="D5" s="109">
        <v>412.97500000000002</v>
      </c>
      <c r="E5" s="49">
        <f t="shared" si="0"/>
        <v>9.1719879093594983E-2</v>
      </c>
      <c r="F5" s="10">
        <v>412.55</v>
      </c>
      <c r="G5" s="10">
        <v>0.42499999999999999</v>
      </c>
      <c r="H5" s="10">
        <v>0</v>
      </c>
      <c r="I5" s="109">
        <v>0</v>
      </c>
      <c r="J5" s="10">
        <v>0</v>
      </c>
      <c r="K5" s="10"/>
      <c r="L5" s="43"/>
      <c r="M5" s="43"/>
      <c r="N5" s="43"/>
      <c r="O5" s="43"/>
      <c r="P5" s="43"/>
      <c r="Q5" s="43"/>
      <c r="R5" s="43"/>
    </row>
    <row r="6" spans="2:18">
      <c r="B6" s="11">
        <v>4</v>
      </c>
      <c r="C6" s="146" t="s">
        <v>391</v>
      </c>
      <c r="D6" s="109">
        <v>395.36399999999998</v>
      </c>
      <c r="E6" s="49">
        <f t="shared" si="0"/>
        <v>8.7808555670343444E-2</v>
      </c>
      <c r="F6" s="10">
        <v>8.9550000000000001</v>
      </c>
      <c r="G6" s="10">
        <v>386.40899999999999</v>
      </c>
      <c r="H6" s="10">
        <v>0</v>
      </c>
      <c r="I6" s="109">
        <v>0</v>
      </c>
      <c r="J6" s="10">
        <v>0</v>
      </c>
      <c r="K6" s="10"/>
      <c r="L6" s="43"/>
      <c r="M6" s="43"/>
      <c r="N6" s="43"/>
      <c r="O6" s="43"/>
      <c r="P6" s="43"/>
      <c r="Q6" s="43"/>
      <c r="R6" s="43"/>
    </row>
    <row r="7" spans="2:18">
      <c r="B7" s="11">
        <v>5</v>
      </c>
      <c r="C7" s="146" t="s">
        <v>392</v>
      </c>
      <c r="D7" s="109">
        <v>376.48390000000001</v>
      </c>
      <c r="E7" s="49">
        <f t="shared" si="0"/>
        <v>8.3615370878830683E-2</v>
      </c>
      <c r="F7" s="10">
        <v>376.48390000000012</v>
      </c>
      <c r="G7" s="10">
        <v>0</v>
      </c>
      <c r="H7" s="10">
        <v>0</v>
      </c>
      <c r="I7" s="109">
        <v>-9.3132257461547856E-14</v>
      </c>
      <c r="J7" s="10">
        <v>0</v>
      </c>
      <c r="K7" s="10"/>
      <c r="L7" s="43"/>
      <c r="M7" s="43"/>
      <c r="N7" s="43"/>
      <c r="O7" s="43"/>
      <c r="P7" s="43"/>
      <c r="Q7" s="43"/>
      <c r="R7" s="43"/>
    </row>
    <row r="8" spans="2:18">
      <c r="B8" s="11">
        <v>6</v>
      </c>
      <c r="C8" s="146" t="s">
        <v>393</v>
      </c>
      <c r="D8" s="109">
        <v>373.88010000000003</v>
      </c>
      <c r="E8" s="49">
        <f t="shared" si="0"/>
        <v>8.3037078679099707E-2</v>
      </c>
      <c r="F8" s="10">
        <v>219.30709999999999</v>
      </c>
      <c r="G8" s="10">
        <v>154.57300000000001</v>
      </c>
      <c r="H8" s="10">
        <v>0</v>
      </c>
      <c r="I8" s="10">
        <v>0</v>
      </c>
      <c r="J8" s="10">
        <v>0</v>
      </c>
      <c r="K8" s="10"/>
      <c r="L8" s="43"/>
      <c r="M8" s="43"/>
      <c r="N8" s="43"/>
      <c r="O8" s="43"/>
      <c r="P8" s="43"/>
      <c r="Q8" s="43"/>
      <c r="R8" s="43"/>
    </row>
    <row r="9" spans="2:18">
      <c r="B9" s="11">
        <v>7</v>
      </c>
      <c r="C9" s="146" t="s">
        <v>394</v>
      </c>
      <c r="D9" s="109">
        <v>355.76179999999999</v>
      </c>
      <c r="E9" s="49">
        <f t="shared" si="0"/>
        <v>7.9013086221005432E-2</v>
      </c>
      <c r="F9" s="10">
        <v>0</v>
      </c>
      <c r="G9" s="10">
        <v>19.917999999999999</v>
      </c>
      <c r="H9" s="10">
        <v>335.84379999999999</v>
      </c>
      <c r="I9" s="10">
        <v>0</v>
      </c>
      <c r="J9" s="10">
        <v>0</v>
      </c>
      <c r="K9" s="10"/>
      <c r="L9" s="43"/>
      <c r="M9" s="43"/>
      <c r="N9" s="43"/>
      <c r="O9" s="43"/>
      <c r="P9" s="43"/>
      <c r="Q9" s="43"/>
      <c r="R9" s="43"/>
    </row>
    <row r="10" spans="2:18">
      <c r="B10" s="11">
        <v>8</v>
      </c>
      <c r="C10" s="146" t="s">
        <v>395</v>
      </c>
      <c r="D10" s="109">
        <v>250.41370600000002</v>
      </c>
      <c r="E10" s="49">
        <f t="shared" si="0"/>
        <v>5.5615751165806748E-2</v>
      </c>
      <c r="F10" s="10">
        <v>250.41370600000002</v>
      </c>
      <c r="G10" s="10">
        <v>0</v>
      </c>
      <c r="H10" s="10">
        <v>0</v>
      </c>
      <c r="I10" s="10">
        <v>0</v>
      </c>
      <c r="J10" s="10">
        <v>0</v>
      </c>
      <c r="K10" s="10"/>
      <c r="L10" s="43"/>
      <c r="M10" s="43"/>
      <c r="N10" s="43"/>
      <c r="O10" s="43"/>
      <c r="P10" s="43"/>
      <c r="Q10" s="43"/>
      <c r="R10" s="43"/>
    </row>
    <row r="11" spans="2:18">
      <c r="B11" s="11">
        <v>9</v>
      </c>
      <c r="C11" s="146" t="s">
        <v>396</v>
      </c>
      <c r="D11" s="109">
        <v>172</v>
      </c>
      <c r="E11" s="49">
        <f t="shared" si="0"/>
        <v>3.8200421827225224E-2</v>
      </c>
      <c r="F11" s="10">
        <v>130.24295000000001</v>
      </c>
      <c r="G11" s="10">
        <v>41.75705</v>
      </c>
      <c r="H11" s="10">
        <v>0</v>
      </c>
      <c r="I11" s="10">
        <v>0</v>
      </c>
      <c r="J11" s="10">
        <v>0</v>
      </c>
      <c r="K11" s="10"/>
      <c r="L11" s="43"/>
      <c r="M11" s="43"/>
      <c r="N11" s="43"/>
      <c r="O11" s="43"/>
      <c r="P11" s="43"/>
      <c r="Q11" s="43"/>
      <c r="R11" s="43"/>
    </row>
    <row r="12" spans="2:18">
      <c r="B12" s="11">
        <v>10</v>
      </c>
      <c r="C12" s="146" t="s">
        <v>397</v>
      </c>
      <c r="D12" s="109">
        <v>171.73724999999999</v>
      </c>
      <c r="E12" s="49">
        <f t="shared" si="0"/>
        <v>3.8142066240974618E-2</v>
      </c>
      <c r="F12" s="10">
        <v>171.73724999999999</v>
      </c>
      <c r="G12" s="10">
        <v>0</v>
      </c>
      <c r="H12" s="10">
        <v>0</v>
      </c>
      <c r="I12" s="10">
        <v>0</v>
      </c>
      <c r="J12" s="10">
        <v>0</v>
      </c>
      <c r="K12" s="10"/>
      <c r="L12" s="43"/>
      <c r="M12" s="43"/>
      <c r="N12" s="43"/>
      <c r="O12" s="43"/>
      <c r="P12" s="43"/>
      <c r="Q12" s="43"/>
      <c r="R12" s="43"/>
    </row>
    <row r="13" spans="2:18">
      <c r="B13" s="11">
        <v>11</v>
      </c>
      <c r="C13" s="146" t="s">
        <v>398</v>
      </c>
      <c r="D13" s="109">
        <v>157.5</v>
      </c>
      <c r="E13" s="49">
        <f t="shared" si="0"/>
        <v>3.4980037428999841E-2</v>
      </c>
      <c r="F13" s="10">
        <v>157.5</v>
      </c>
      <c r="G13" s="10">
        <v>0</v>
      </c>
      <c r="H13" s="10">
        <v>0</v>
      </c>
      <c r="I13" s="10">
        <v>0</v>
      </c>
      <c r="J13" s="10">
        <v>0</v>
      </c>
      <c r="K13" s="10"/>
      <c r="L13" s="43"/>
      <c r="M13" s="43"/>
      <c r="N13" s="43"/>
      <c r="O13" s="43"/>
      <c r="P13" s="43"/>
      <c r="Q13" s="43"/>
      <c r="R13" s="43"/>
    </row>
    <row r="14" spans="2:18">
      <c r="B14" s="11">
        <v>12</v>
      </c>
      <c r="C14" s="146" t="s">
        <v>399</v>
      </c>
      <c r="D14" s="109">
        <v>145.72540000000001</v>
      </c>
      <c r="E14" s="49">
        <f t="shared" si="0"/>
        <v>3.2364952040355388E-2</v>
      </c>
      <c r="F14" s="10">
        <v>145.72540000000001</v>
      </c>
      <c r="G14" s="10">
        <v>0</v>
      </c>
      <c r="H14" s="10">
        <v>0</v>
      </c>
      <c r="I14" s="10">
        <v>0</v>
      </c>
      <c r="J14" s="10">
        <v>0</v>
      </c>
      <c r="K14" s="10"/>
      <c r="L14" s="43"/>
      <c r="M14" s="43"/>
      <c r="N14" s="43"/>
      <c r="O14" s="43"/>
      <c r="P14" s="43"/>
      <c r="Q14" s="43"/>
      <c r="R14" s="43"/>
    </row>
    <row r="15" spans="2:18">
      <c r="B15" s="11">
        <v>13</v>
      </c>
      <c r="C15" s="146" t="s">
        <v>400</v>
      </c>
      <c r="D15" s="109">
        <v>120.3925</v>
      </c>
      <c r="E15" s="49">
        <f t="shared" si="0"/>
        <v>2.673862956298961E-2</v>
      </c>
      <c r="F15" s="10">
        <v>120.3925</v>
      </c>
      <c r="G15" s="10">
        <v>0</v>
      </c>
      <c r="H15" s="10">
        <v>0</v>
      </c>
      <c r="I15" s="10">
        <v>0</v>
      </c>
      <c r="J15" s="10">
        <v>0</v>
      </c>
      <c r="K15" s="10"/>
      <c r="L15" s="43"/>
      <c r="M15" s="43"/>
      <c r="N15" s="43"/>
      <c r="O15" s="43"/>
      <c r="P15" s="43"/>
      <c r="Q15" s="43"/>
      <c r="R15" s="43"/>
    </row>
    <row r="16" spans="2:18">
      <c r="B16" s="11">
        <v>14</v>
      </c>
      <c r="C16" s="146" t="s">
        <v>401</v>
      </c>
      <c r="D16" s="109">
        <v>95.285000999999994</v>
      </c>
      <c r="E16" s="49">
        <f t="shared" si="0"/>
        <v>2.1162367627951029E-2</v>
      </c>
      <c r="F16" s="10">
        <v>95.285000999999994</v>
      </c>
      <c r="G16" s="10">
        <v>0</v>
      </c>
      <c r="H16" s="10">
        <v>0</v>
      </c>
      <c r="I16" s="10">
        <v>0</v>
      </c>
      <c r="J16" s="10">
        <v>0</v>
      </c>
      <c r="K16" s="10"/>
      <c r="L16" s="43"/>
      <c r="M16" s="43"/>
      <c r="N16" s="43"/>
      <c r="O16" s="43"/>
      <c r="P16" s="43"/>
      <c r="Q16" s="43"/>
      <c r="R16" s="43"/>
    </row>
    <row r="17" spans="2:18">
      <c r="B17" s="11">
        <v>15</v>
      </c>
      <c r="C17" s="146" t="s">
        <v>402</v>
      </c>
      <c r="D17" s="109">
        <v>94.898300000000006</v>
      </c>
      <c r="E17" s="49">
        <f t="shared" si="0"/>
        <v>2.107648308538702E-2</v>
      </c>
      <c r="F17" s="10">
        <v>0</v>
      </c>
      <c r="G17" s="10">
        <v>94.898300000000006</v>
      </c>
      <c r="H17" s="10">
        <v>0</v>
      </c>
      <c r="I17" s="10">
        <v>0</v>
      </c>
      <c r="J17" s="10">
        <v>0</v>
      </c>
      <c r="K17" s="10"/>
      <c r="L17" s="43"/>
      <c r="M17" s="43"/>
      <c r="N17" s="43"/>
      <c r="O17" s="43"/>
      <c r="P17" s="43"/>
      <c r="Q17" s="43"/>
      <c r="R17" s="43"/>
    </row>
    <row r="18" spans="2:18">
      <c r="B18" s="11">
        <v>16</v>
      </c>
      <c r="C18" s="146" t="s">
        <v>403</v>
      </c>
      <c r="D18" s="109">
        <v>91.426299999999998</v>
      </c>
      <c r="E18" s="49">
        <f t="shared" si="0"/>
        <v>2.0305367593618846E-2</v>
      </c>
      <c r="F18" s="10">
        <v>66.0124</v>
      </c>
      <c r="G18" s="10">
        <v>25.413900000000002</v>
      </c>
      <c r="H18" s="10">
        <v>0</v>
      </c>
      <c r="I18" s="10">
        <v>0</v>
      </c>
      <c r="J18" s="10">
        <v>0</v>
      </c>
      <c r="K18" s="10"/>
      <c r="L18" s="43"/>
      <c r="M18" s="43"/>
      <c r="N18" s="43"/>
      <c r="O18" s="43"/>
      <c r="P18" s="43"/>
      <c r="Q18" s="43"/>
      <c r="R18" s="43"/>
    </row>
    <row r="19" spans="2:18">
      <c r="B19" s="11">
        <v>17</v>
      </c>
      <c r="C19" s="146" t="s">
        <v>404</v>
      </c>
      <c r="D19" s="109">
        <v>88.437149000000005</v>
      </c>
      <c r="E19" s="49">
        <f t="shared" si="0"/>
        <v>1.9641490680216103E-2</v>
      </c>
      <c r="F19" s="10">
        <v>88.437149000000005</v>
      </c>
      <c r="G19" s="10">
        <v>0</v>
      </c>
      <c r="H19" s="10">
        <v>0</v>
      </c>
      <c r="I19" s="10">
        <v>0</v>
      </c>
      <c r="J19" s="10">
        <v>0</v>
      </c>
      <c r="K19" s="10"/>
      <c r="L19" s="43"/>
      <c r="M19" s="43"/>
      <c r="N19" s="43"/>
      <c r="O19" s="43"/>
      <c r="P19" s="43"/>
      <c r="Q19" s="43"/>
      <c r="R19" s="43"/>
    </row>
    <row r="20" spans="2:18">
      <c r="B20" s="11">
        <v>18</v>
      </c>
      <c r="C20" s="146" t="s">
        <v>405</v>
      </c>
      <c r="D20" s="109">
        <v>83.25</v>
      </c>
      <c r="E20" s="49">
        <f t="shared" si="0"/>
        <v>1.8489448355328487E-2</v>
      </c>
      <c r="F20" s="10">
        <v>0</v>
      </c>
      <c r="G20" s="10">
        <v>83.25</v>
      </c>
      <c r="H20" s="10">
        <v>0</v>
      </c>
      <c r="I20" s="10">
        <v>0</v>
      </c>
      <c r="J20" s="10">
        <v>0</v>
      </c>
      <c r="K20" s="10"/>
      <c r="L20" s="43"/>
      <c r="M20" s="43"/>
      <c r="N20" s="43"/>
      <c r="O20" s="43"/>
      <c r="P20" s="43"/>
      <c r="Q20" s="43"/>
      <c r="R20" s="43"/>
    </row>
    <row r="21" spans="2:18">
      <c r="B21" s="11">
        <v>19</v>
      </c>
      <c r="C21" s="146" t="s">
        <v>406</v>
      </c>
      <c r="D21" s="109">
        <v>83.174121</v>
      </c>
      <c r="E21" s="49">
        <f t="shared" si="0"/>
        <v>1.8472595972724836E-2</v>
      </c>
      <c r="F21" s="10">
        <v>83.174121</v>
      </c>
      <c r="G21" s="10">
        <v>0</v>
      </c>
      <c r="H21" s="10">
        <v>0</v>
      </c>
      <c r="I21" s="10">
        <v>0</v>
      </c>
      <c r="J21" s="10">
        <v>0</v>
      </c>
      <c r="K21" s="10"/>
      <c r="L21" s="43"/>
      <c r="M21" s="43"/>
      <c r="N21" s="43"/>
      <c r="O21" s="43"/>
      <c r="P21" s="43"/>
      <c r="Q21" s="43"/>
      <c r="R21" s="43"/>
    </row>
    <row r="22" spans="2:18">
      <c r="B22" s="11">
        <v>20</v>
      </c>
      <c r="C22" s="147" t="s">
        <v>407</v>
      </c>
      <c r="D22" s="70">
        <v>71.92</v>
      </c>
      <c r="E22" s="49">
        <f t="shared" si="0"/>
        <v>1.5973106615197897E-2</v>
      </c>
      <c r="F22" s="10">
        <v>57.6</v>
      </c>
      <c r="G22" s="10">
        <v>14.32</v>
      </c>
      <c r="H22" s="10">
        <v>0</v>
      </c>
      <c r="I22" s="10">
        <v>0</v>
      </c>
      <c r="J22" s="10">
        <v>0</v>
      </c>
      <c r="K22" s="10"/>
      <c r="L22" s="43"/>
      <c r="M22" s="43"/>
      <c r="N22" s="43"/>
      <c r="O22" s="43"/>
      <c r="P22" s="43"/>
      <c r="Q22" s="43"/>
      <c r="R22" s="43"/>
    </row>
    <row r="23" spans="2:18">
      <c r="B23" s="11" t="s">
        <v>45</v>
      </c>
      <c r="C23" s="2" t="s">
        <v>46</v>
      </c>
      <c r="D23" s="10">
        <f>SUM(D3:D22)</f>
        <v>4502.5680810000003</v>
      </c>
      <c r="E23" s="12">
        <f>SUM(E3:E22)</f>
        <v>1</v>
      </c>
      <c r="F23" s="10">
        <f>SUM(F3:F22)</f>
        <v>2830.7200309999998</v>
      </c>
      <c r="G23" s="10">
        <f t="shared" ref="G23:H23" si="1">SUM(G3:G22)</f>
        <v>1336.0042499999997</v>
      </c>
      <c r="H23" s="10">
        <f t="shared" si="1"/>
        <v>335.84379999999999</v>
      </c>
      <c r="I23" s="10"/>
      <c r="J23" s="10"/>
      <c r="K23" s="10"/>
    </row>
    <row r="25" spans="2:18">
      <c r="B25" s="13" t="s">
        <v>89</v>
      </c>
    </row>
    <row r="26" spans="2:18">
      <c r="B26" s="58"/>
      <c r="C26" s="58" t="s">
        <v>44</v>
      </c>
      <c r="D26" s="150" t="s">
        <v>49</v>
      </c>
      <c r="E26" s="58" t="s">
        <v>50</v>
      </c>
    </row>
    <row r="27" spans="2:18">
      <c r="B27" s="4" t="s">
        <v>51</v>
      </c>
      <c r="C27" s="24">
        <v>3270.6807889999991</v>
      </c>
      <c r="D27" s="24"/>
      <c r="E27" s="110">
        <f>C27-D27</f>
        <v>3270.6807889999991</v>
      </c>
      <c r="F27" s="43"/>
    </row>
    <row r="28" spans="2:18">
      <c r="B28" s="4" t="s">
        <v>52</v>
      </c>
      <c r="C28" s="24">
        <v>1749.0972930000003</v>
      </c>
      <c r="D28" s="24"/>
      <c r="E28" s="110">
        <f t="shared" ref="E28:E32" si="2">C28-D28</f>
        <v>1749.0972930000003</v>
      </c>
      <c r="F28" s="43"/>
    </row>
    <row r="29" spans="2:18">
      <c r="B29" s="4" t="s">
        <v>53</v>
      </c>
      <c r="C29" s="24">
        <v>1229.0311640000009</v>
      </c>
      <c r="D29" s="24"/>
      <c r="E29" s="110">
        <f t="shared" si="2"/>
        <v>1229.0311640000009</v>
      </c>
      <c r="F29" s="43"/>
    </row>
    <row r="30" spans="2:18">
      <c r="B30" s="4" t="s">
        <v>54</v>
      </c>
      <c r="C30" s="24">
        <v>91.023489000000197</v>
      </c>
      <c r="D30" s="24"/>
      <c r="E30" s="110">
        <f t="shared" si="2"/>
        <v>91.023489000000197</v>
      </c>
      <c r="F30" s="43"/>
    </row>
    <row r="31" spans="2:18">
      <c r="B31" s="4" t="s">
        <v>55</v>
      </c>
      <c r="C31" s="24"/>
      <c r="D31" s="4"/>
      <c r="E31" s="110">
        <f t="shared" si="2"/>
        <v>0</v>
      </c>
    </row>
    <row r="32" spans="2:18">
      <c r="B32" s="4" t="s">
        <v>56</v>
      </c>
      <c r="C32" s="4"/>
      <c r="D32" s="4"/>
      <c r="E32" s="110">
        <f t="shared" si="2"/>
        <v>0</v>
      </c>
    </row>
    <row r="33" spans="2:5">
      <c r="B33" s="4" t="s">
        <v>28</v>
      </c>
      <c r="C33" s="24">
        <f>SUM(C27:C32)</f>
        <v>6339.832735</v>
      </c>
      <c r="D33" s="24">
        <v>347.17142999999982</v>
      </c>
      <c r="E33" s="24">
        <f>SUM(E27:E32)-D33</f>
        <v>5992.6613050000005</v>
      </c>
    </row>
    <row r="35" spans="2:5">
      <c r="B35" s="13" t="s">
        <v>312</v>
      </c>
      <c r="D35" s="43"/>
    </row>
    <row r="36" spans="2:5">
      <c r="B36" s="58" t="s">
        <v>57</v>
      </c>
      <c r="C36" s="58" t="s">
        <v>44</v>
      </c>
    </row>
    <row r="37" spans="2:5">
      <c r="B37" s="4"/>
      <c r="C37" s="24"/>
    </row>
    <row r="38" spans="2:5">
      <c r="B38" s="4"/>
      <c r="C38" s="24"/>
    </row>
    <row r="39" spans="2:5">
      <c r="B39" s="4"/>
      <c r="C39" s="24"/>
    </row>
    <row r="40" spans="2:5">
      <c r="B40" s="4"/>
      <c r="C40" s="24"/>
    </row>
    <row r="41" spans="2:5">
      <c r="B41" s="4"/>
      <c r="C41" s="4"/>
    </row>
    <row r="42" spans="2:5">
      <c r="B42" s="4"/>
      <c r="C42" s="4"/>
    </row>
    <row r="43" spans="2:5">
      <c r="B43" s="4" t="s">
        <v>28</v>
      </c>
      <c r="C43" s="24">
        <f>SUM(C37:C42)</f>
        <v>0</v>
      </c>
    </row>
  </sheetData>
  <phoneticPr fontId="6" type="noConversion"/>
  <pageMargins left="0.69930555555555596" right="0.69930555555555596"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M34"/>
  <sheetViews>
    <sheetView zoomScale="90" zoomScaleNormal="90" workbookViewId="0">
      <selection activeCell="D31" sqref="D31"/>
    </sheetView>
  </sheetViews>
  <sheetFormatPr defaultColWidth="9" defaultRowHeight="14.4"/>
  <cols>
    <col min="1" max="1" width="3" style="8" customWidth="1"/>
    <col min="2" max="2" width="35.8984375" style="8" bestFit="1" customWidth="1"/>
    <col min="3" max="4" width="16.09765625" style="8" bestFit="1" customWidth="1"/>
    <col min="5" max="5" width="13.8984375" style="8" bestFit="1" customWidth="1"/>
    <col min="6" max="6" width="8.5" style="8" bestFit="1" customWidth="1"/>
    <col min="7" max="7" width="13.8984375" style="8" bestFit="1" customWidth="1"/>
    <col min="8" max="16384" width="9" style="8"/>
  </cols>
  <sheetData>
    <row r="1" spans="2:13">
      <c r="B1" s="13" t="s">
        <v>314</v>
      </c>
      <c r="D1" s="39">
        <f>应收账款明细!$K$1</f>
        <v>44012</v>
      </c>
    </row>
    <row r="2" spans="2:13">
      <c r="B2" s="27" t="s">
        <v>421</v>
      </c>
      <c r="C2" s="24" t="s">
        <v>418</v>
      </c>
      <c r="D2" s="24" t="s">
        <v>408</v>
      </c>
      <c r="E2" s="24" t="s">
        <v>52</v>
      </c>
      <c r="F2" s="24" t="s">
        <v>53</v>
      </c>
      <c r="G2" s="24" t="s">
        <v>80</v>
      </c>
    </row>
    <row r="3" spans="2:13">
      <c r="B3" s="27" t="s">
        <v>409</v>
      </c>
      <c r="C3" s="24">
        <v>132.37740699999998</v>
      </c>
      <c r="D3" s="24">
        <v>132.37740699999998</v>
      </c>
      <c r="E3" s="24">
        <v>0</v>
      </c>
      <c r="F3" s="24">
        <v>0</v>
      </c>
      <c r="G3" s="24">
        <v>0</v>
      </c>
      <c r="I3" s="43"/>
      <c r="J3" s="43"/>
      <c r="K3" s="43"/>
      <c r="L3" s="43"/>
      <c r="M3" s="43"/>
    </row>
    <row r="4" spans="2:13">
      <c r="B4" s="27" t="s">
        <v>410</v>
      </c>
      <c r="C4" s="24">
        <v>42.5</v>
      </c>
      <c r="D4" s="24">
        <v>42.5</v>
      </c>
      <c r="E4" s="24">
        <v>0</v>
      </c>
      <c r="F4" s="24">
        <v>0</v>
      </c>
      <c r="G4" s="24">
        <v>0</v>
      </c>
      <c r="I4" s="43"/>
      <c r="J4" s="43"/>
      <c r="K4" s="43"/>
      <c r="L4" s="43"/>
      <c r="M4" s="43"/>
    </row>
    <row r="5" spans="2:13">
      <c r="B5" s="27" t="s">
        <v>411</v>
      </c>
      <c r="C5" s="24">
        <v>40.948799999999999</v>
      </c>
      <c r="D5" s="24">
        <v>40.948799999999999</v>
      </c>
      <c r="E5" s="24">
        <v>0</v>
      </c>
      <c r="F5" s="24">
        <v>0</v>
      </c>
      <c r="G5" s="24">
        <v>0</v>
      </c>
      <c r="I5" s="43"/>
      <c r="J5" s="43"/>
      <c r="K5" s="43"/>
      <c r="L5" s="43"/>
      <c r="M5" s="43"/>
    </row>
    <row r="6" spans="2:13">
      <c r="B6" s="27" t="s">
        <v>412</v>
      </c>
      <c r="C6" s="24">
        <v>33.506720000000001</v>
      </c>
      <c r="D6" s="24">
        <v>33.506720000000001</v>
      </c>
      <c r="E6" s="24">
        <v>0</v>
      </c>
      <c r="F6" s="24">
        <v>0</v>
      </c>
      <c r="G6" s="24">
        <v>0</v>
      </c>
      <c r="I6" s="43"/>
      <c r="J6" s="43"/>
      <c r="K6" s="43"/>
      <c r="L6" s="43"/>
      <c r="M6" s="43"/>
    </row>
    <row r="7" spans="2:13">
      <c r="B7" s="27" t="s">
        <v>413</v>
      </c>
      <c r="C7" s="24">
        <v>24.410499999999999</v>
      </c>
      <c r="D7" s="24">
        <v>0</v>
      </c>
      <c r="E7" s="24">
        <v>0</v>
      </c>
      <c r="F7" s="24">
        <v>0</v>
      </c>
      <c r="G7" s="24">
        <v>24.410499999999999</v>
      </c>
      <c r="I7" s="43"/>
      <c r="J7" s="43"/>
      <c r="K7" s="43"/>
      <c r="L7" s="43"/>
      <c r="M7" s="43"/>
    </row>
    <row r="8" spans="2:13">
      <c r="B8" s="27" t="s">
        <v>420</v>
      </c>
      <c r="C8" s="24">
        <v>18.72</v>
      </c>
      <c r="D8" s="24">
        <v>18.72</v>
      </c>
      <c r="E8" s="24">
        <v>0</v>
      </c>
      <c r="F8" s="24">
        <v>0</v>
      </c>
      <c r="G8" s="24">
        <v>0</v>
      </c>
      <c r="I8" s="43"/>
      <c r="J8" s="43"/>
      <c r="K8" s="43"/>
      <c r="L8" s="43"/>
      <c r="M8" s="43"/>
    </row>
    <row r="9" spans="2:13">
      <c r="B9" s="27" t="s">
        <v>964</v>
      </c>
      <c r="C9" s="24">
        <v>14.297779999999999</v>
      </c>
      <c r="D9" s="24">
        <v>14.297779999999999</v>
      </c>
      <c r="E9" s="24">
        <v>0</v>
      </c>
      <c r="F9" s="24">
        <v>0</v>
      </c>
      <c r="G9" s="24">
        <v>0</v>
      </c>
      <c r="I9" s="43"/>
      <c r="J9" s="43"/>
      <c r="K9" s="43"/>
      <c r="L9" s="43"/>
      <c r="M9" s="43"/>
    </row>
    <row r="10" spans="2:13">
      <c r="B10" s="27" t="s">
        <v>414</v>
      </c>
      <c r="C10" s="24">
        <v>10.66</v>
      </c>
      <c r="D10" s="24">
        <v>9.18</v>
      </c>
      <c r="E10" s="24">
        <v>0</v>
      </c>
      <c r="F10" s="24">
        <v>0</v>
      </c>
      <c r="G10" s="24">
        <v>1.48</v>
      </c>
      <c r="I10" s="43"/>
      <c r="J10" s="43"/>
      <c r="K10" s="43"/>
      <c r="L10" s="43"/>
      <c r="M10" s="43"/>
    </row>
    <row r="11" spans="2:13">
      <c r="B11" s="27" t="s">
        <v>966</v>
      </c>
      <c r="C11" s="24">
        <v>10</v>
      </c>
      <c r="D11" s="24">
        <v>0</v>
      </c>
      <c r="E11" s="24">
        <v>10</v>
      </c>
      <c r="F11" s="24">
        <v>0</v>
      </c>
      <c r="G11" s="24">
        <v>0</v>
      </c>
      <c r="I11" s="43"/>
      <c r="J11" s="43"/>
      <c r="K11" s="43"/>
      <c r="L11" s="43"/>
      <c r="M11" s="43"/>
    </row>
    <row r="12" spans="2:13">
      <c r="B12" s="27" t="s">
        <v>965</v>
      </c>
      <c r="C12" s="24">
        <v>8.7681020000000007</v>
      </c>
      <c r="D12" s="24">
        <v>8.7681020000000007</v>
      </c>
      <c r="E12" s="24">
        <v>0</v>
      </c>
      <c r="F12" s="24">
        <v>0</v>
      </c>
      <c r="G12" s="24">
        <v>0</v>
      </c>
      <c r="I12" s="43"/>
      <c r="J12" s="43"/>
      <c r="K12" s="43"/>
      <c r="L12" s="43"/>
      <c r="M12" s="43"/>
    </row>
    <row r="13" spans="2:13">
      <c r="B13" s="27" t="s">
        <v>415</v>
      </c>
      <c r="C13" s="24">
        <v>8.2651109999999992</v>
      </c>
      <c r="D13" s="24">
        <v>8.2651109999999992</v>
      </c>
      <c r="E13" s="24">
        <v>0</v>
      </c>
      <c r="F13" s="24">
        <v>0</v>
      </c>
      <c r="G13" s="24">
        <v>1.4551915228366853E-15</v>
      </c>
      <c r="I13" s="43"/>
      <c r="J13" s="43"/>
      <c r="K13" s="43"/>
      <c r="L13" s="43"/>
      <c r="M13" s="43"/>
    </row>
    <row r="14" spans="2:13">
      <c r="B14" s="27" t="s">
        <v>967</v>
      </c>
      <c r="C14" s="24">
        <v>6.3</v>
      </c>
      <c r="D14" s="24">
        <v>6.3</v>
      </c>
      <c r="E14" s="24">
        <v>0</v>
      </c>
      <c r="F14" s="24">
        <v>0</v>
      </c>
      <c r="G14" s="24">
        <v>0</v>
      </c>
      <c r="I14" s="43"/>
      <c r="J14" s="43"/>
      <c r="K14" s="43"/>
      <c r="L14" s="43"/>
      <c r="M14" s="43"/>
    </row>
    <row r="15" spans="2:13">
      <c r="B15" s="27" t="s">
        <v>968</v>
      </c>
      <c r="C15" s="24">
        <v>6</v>
      </c>
      <c r="D15" s="24">
        <v>6</v>
      </c>
      <c r="E15" s="24">
        <v>0</v>
      </c>
      <c r="F15" s="24">
        <v>0</v>
      </c>
      <c r="G15" s="24">
        <v>0</v>
      </c>
      <c r="I15" s="43"/>
      <c r="J15" s="43"/>
      <c r="K15" s="43"/>
      <c r="L15" s="43"/>
      <c r="M15" s="43"/>
    </row>
    <row r="16" spans="2:13">
      <c r="B16" s="27" t="s">
        <v>416</v>
      </c>
      <c r="C16" s="24">
        <v>5.5698130000000008</v>
      </c>
      <c r="D16" s="24">
        <v>5.5698130000000008</v>
      </c>
      <c r="E16" s="24">
        <v>0</v>
      </c>
      <c r="F16" s="24">
        <v>0</v>
      </c>
      <c r="G16" s="24">
        <v>0</v>
      </c>
      <c r="I16" s="43"/>
      <c r="J16" s="43"/>
      <c r="K16" s="43"/>
      <c r="L16" s="43"/>
      <c r="M16" s="43"/>
    </row>
    <row r="17" spans="2:13">
      <c r="B17" s="27" t="s">
        <v>417</v>
      </c>
      <c r="C17" s="24">
        <v>5</v>
      </c>
      <c r="D17" s="24">
        <v>5</v>
      </c>
      <c r="E17" s="24">
        <v>0</v>
      </c>
      <c r="F17" s="24">
        <v>0</v>
      </c>
      <c r="G17" s="24">
        <v>0</v>
      </c>
      <c r="I17" s="43"/>
      <c r="J17" s="43"/>
      <c r="K17" s="43"/>
      <c r="L17" s="43"/>
      <c r="M17" s="43"/>
    </row>
    <row r="18" spans="2:13">
      <c r="B18" s="4"/>
      <c r="C18" s="4"/>
      <c r="D18" s="4"/>
      <c r="E18" s="4"/>
      <c r="F18" s="4"/>
      <c r="G18" s="4"/>
    </row>
    <row r="19" spans="2:13">
      <c r="B19" s="27"/>
      <c r="C19" s="20"/>
      <c r="D19" s="10"/>
      <c r="E19" s="4"/>
      <c r="F19" s="4"/>
      <c r="G19" s="4"/>
    </row>
    <row r="20" spans="2:13">
      <c r="B20" s="27"/>
      <c r="C20" s="20"/>
      <c r="D20" s="10"/>
      <c r="E20" s="4"/>
      <c r="F20" s="4"/>
      <c r="G20" s="4"/>
    </row>
    <row r="21" spans="2:13">
      <c r="B21" s="27"/>
      <c r="C21" s="20"/>
      <c r="D21" s="10"/>
      <c r="E21" s="4"/>
      <c r="F21" s="4"/>
      <c r="G21" s="4"/>
    </row>
    <row r="22" spans="2:13">
      <c r="B22" s="27"/>
      <c r="C22" s="20"/>
      <c r="D22" s="10"/>
      <c r="E22" s="4"/>
      <c r="F22" s="4"/>
      <c r="G22" s="4"/>
    </row>
    <row r="23" spans="2:13">
      <c r="B23" s="2" t="s">
        <v>46</v>
      </c>
      <c r="C23" s="149">
        <f>SUM(C2:C22)</f>
        <v>367.32423300000005</v>
      </c>
      <c r="D23" s="149">
        <f t="shared" ref="D23:G23" si="0">SUM(D2:D22)</f>
        <v>331.43373299999996</v>
      </c>
      <c r="E23" s="149">
        <f t="shared" si="0"/>
        <v>10</v>
      </c>
      <c r="F23" s="149">
        <f t="shared" si="0"/>
        <v>0</v>
      </c>
      <c r="G23" s="149">
        <f t="shared" si="0"/>
        <v>25.890499999999999</v>
      </c>
    </row>
    <row r="26" spans="2:13">
      <c r="B26" s="13" t="s">
        <v>315</v>
      </c>
    </row>
    <row r="27" spans="2:13">
      <c r="B27" s="58" t="s">
        <v>57</v>
      </c>
      <c r="C27" s="58" t="s">
        <v>44</v>
      </c>
    </row>
    <row r="28" spans="2:13">
      <c r="B28" s="4" t="s">
        <v>971</v>
      </c>
      <c r="C28" s="24">
        <v>350.95035799999999</v>
      </c>
    </row>
    <row r="29" spans="2:13">
      <c r="B29" s="4" t="s">
        <v>972</v>
      </c>
      <c r="C29" s="24">
        <f>C10+C7</f>
        <v>35.070499999999996</v>
      </c>
    </row>
    <row r="30" spans="2:13">
      <c r="B30" s="4" t="s">
        <v>973</v>
      </c>
      <c r="C30" s="24">
        <f>C4</f>
        <v>42.5</v>
      </c>
    </row>
    <row r="31" spans="2:13">
      <c r="B31" s="4"/>
      <c r="C31" s="24"/>
    </row>
    <row r="32" spans="2:13">
      <c r="B32" s="4"/>
      <c r="C32" s="4"/>
    </row>
    <row r="33" spans="2:3">
      <c r="B33" s="4"/>
      <c r="C33" s="4"/>
    </row>
    <row r="34" spans="2:3">
      <c r="B34" s="4" t="s">
        <v>28</v>
      </c>
      <c r="C34" s="24">
        <f>SUM(C28:C33)</f>
        <v>428.52085799999998</v>
      </c>
    </row>
  </sheetData>
  <phoneticPr fontId="6" type="noConversion"/>
  <pageMargins left="0.69930555555555596" right="0.69930555555555596"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E24"/>
  <sheetViews>
    <sheetView zoomScale="90" zoomScaleNormal="90" workbookViewId="0">
      <selection activeCell="C14" sqref="C14"/>
    </sheetView>
  </sheetViews>
  <sheetFormatPr defaultColWidth="9" defaultRowHeight="14.4"/>
  <cols>
    <col min="1" max="1" width="3" style="8" customWidth="1"/>
    <col min="2" max="2" width="35.5" style="8" bestFit="1" customWidth="1"/>
    <col min="3" max="3" width="16.09765625" style="8" customWidth="1"/>
    <col min="4" max="4" width="15.5" style="8" customWidth="1"/>
    <col min="5" max="5" width="23" style="8" customWidth="1"/>
    <col min="6" max="16384" width="9" style="8"/>
  </cols>
  <sheetData>
    <row r="1" spans="2:5">
      <c r="B1" s="13" t="s">
        <v>317</v>
      </c>
      <c r="E1" s="39">
        <f>应收账款明细!$K$1</f>
        <v>44012</v>
      </c>
    </row>
    <row r="2" spans="2:5">
      <c r="B2" s="58" t="s">
        <v>43</v>
      </c>
      <c r="C2" s="58" t="s">
        <v>44</v>
      </c>
      <c r="D2" s="58" t="s">
        <v>90</v>
      </c>
      <c r="E2" s="58" t="s">
        <v>57</v>
      </c>
    </row>
    <row r="3" spans="2:5">
      <c r="B3" s="2" t="s">
        <v>422</v>
      </c>
      <c r="C3" s="24">
        <v>79.43441700000001</v>
      </c>
      <c r="D3" s="12" t="s">
        <v>80</v>
      </c>
      <c r="E3" s="11"/>
    </row>
    <row r="4" spans="2:5">
      <c r="B4" s="2" t="s">
        <v>423</v>
      </c>
      <c r="C4" s="24">
        <v>64.481036000000003</v>
      </c>
      <c r="D4" s="12" t="s">
        <v>53</v>
      </c>
      <c r="E4" s="11"/>
    </row>
    <row r="5" spans="2:5">
      <c r="B5" s="2" t="s">
        <v>424</v>
      </c>
      <c r="C5" s="24">
        <v>60</v>
      </c>
      <c r="D5" s="12" t="s">
        <v>419</v>
      </c>
      <c r="E5" s="11"/>
    </row>
    <row r="6" spans="2:5">
      <c r="B6" s="2" t="s">
        <v>425</v>
      </c>
      <c r="C6" s="24">
        <v>39.048110000000001</v>
      </c>
      <c r="D6" s="12" t="s">
        <v>80</v>
      </c>
      <c r="E6" s="11"/>
    </row>
    <row r="7" spans="2:5">
      <c r="B7" s="2" t="s">
        <v>426</v>
      </c>
      <c r="C7" s="24">
        <v>37</v>
      </c>
      <c r="D7" s="12" t="s">
        <v>53</v>
      </c>
      <c r="E7" s="11"/>
    </row>
    <row r="8" spans="2:5">
      <c r="B8" s="2" t="s">
        <v>427</v>
      </c>
      <c r="C8" s="24">
        <v>186.8878</v>
      </c>
      <c r="D8" s="12" t="s">
        <v>80</v>
      </c>
      <c r="E8" s="11"/>
    </row>
    <row r="9" spans="2:5">
      <c r="B9" s="2" t="s">
        <v>428</v>
      </c>
      <c r="C9" s="24">
        <v>110.46599999999999</v>
      </c>
      <c r="D9" s="12" t="s">
        <v>80</v>
      </c>
      <c r="E9" s="11"/>
    </row>
    <row r="10" spans="2:5">
      <c r="B10" s="2" t="s">
        <v>429</v>
      </c>
      <c r="C10" s="24">
        <v>70.782107999999994</v>
      </c>
      <c r="D10" s="12" t="s">
        <v>53</v>
      </c>
      <c r="E10" s="11"/>
    </row>
    <row r="11" spans="2:5">
      <c r="B11" s="2" t="s">
        <v>430</v>
      </c>
      <c r="C11" s="24">
        <v>51.680900000000001</v>
      </c>
      <c r="D11" s="12" t="s">
        <v>53</v>
      </c>
      <c r="E11" s="10"/>
    </row>
    <row r="12" spans="2:5">
      <c r="B12" s="2" t="s">
        <v>431</v>
      </c>
      <c r="C12" s="24">
        <v>45.452978000000002</v>
      </c>
      <c r="D12" s="12" t="s">
        <v>53</v>
      </c>
      <c r="E12" s="10"/>
    </row>
    <row r="13" spans="2:5">
      <c r="B13" s="10" t="s">
        <v>28</v>
      </c>
      <c r="C13" s="109">
        <f>SUM(C3:C12)</f>
        <v>745.23334899999998</v>
      </c>
      <c r="D13" s="12"/>
      <c r="E13" s="11"/>
    </row>
    <row r="14" spans="2:5">
      <c r="C14" s="111"/>
    </row>
    <row r="16" spans="2:5">
      <c r="B16" s="13" t="s">
        <v>316</v>
      </c>
    </row>
    <row r="17" spans="2:3">
      <c r="B17" s="58" t="s">
        <v>297</v>
      </c>
      <c r="C17" s="58" t="s">
        <v>44</v>
      </c>
    </row>
    <row r="18" spans="2:3">
      <c r="B18" s="4"/>
      <c r="C18" s="24"/>
    </row>
    <row r="19" spans="2:3">
      <c r="B19" s="4"/>
      <c r="C19" s="24"/>
    </row>
    <row r="20" spans="2:3">
      <c r="B20" s="4"/>
      <c r="C20" s="24"/>
    </row>
    <row r="21" spans="2:3">
      <c r="B21" s="4"/>
      <c r="C21" s="24"/>
    </row>
    <row r="22" spans="2:3">
      <c r="B22" s="4"/>
      <c r="C22" s="4"/>
    </row>
    <row r="23" spans="2:3">
      <c r="B23" s="4"/>
      <c r="C23" s="4"/>
    </row>
    <row r="24" spans="2:3">
      <c r="B24" s="4" t="s">
        <v>28</v>
      </c>
      <c r="C24" s="24">
        <f>SUM(C18:C23)</f>
        <v>0</v>
      </c>
    </row>
  </sheetData>
  <phoneticPr fontId="6" type="noConversion"/>
  <pageMargins left="0.69930555555555596" right="0.69930555555555596"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E15"/>
  <sheetViews>
    <sheetView zoomScale="90" zoomScaleNormal="90" workbookViewId="0">
      <selection activeCell="E19" sqref="E19"/>
    </sheetView>
  </sheetViews>
  <sheetFormatPr defaultColWidth="9" defaultRowHeight="14.4"/>
  <cols>
    <col min="1" max="1" width="2.3984375" style="8" customWidth="1"/>
    <col min="2" max="2" width="16.8984375" style="8" customWidth="1"/>
    <col min="3" max="3" width="17.09765625" style="8" bestFit="1" customWidth="1"/>
    <col min="4" max="4" width="16.09765625" style="8" bestFit="1" customWidth="1"/>
    <col min="5" max="5" width="17.09765625" style="8" bestFit="1" customWidth="1"/>
    <col min="6" max="16384" width="9" style="8"/>
  </cols>
  <sheetData>
    <row r="1" spans="2:5">
      <c r="B1" s="13" t="s">
        <v>58</v>
      </c>
      <c r="E1" s="39" t="str">
        <f>[1]应收账款明细!$K$1</f>
        <v>2020年6月30日</v>
      </c>
    </row>
    <row r="2" spans="2:5">
      <c r="B2" s="177" t="s">
        <v>3</v>
      </c>
      <c r="C2" s="177" t="s">
        <v>44</v>
      </c>
      <c r="D2" s="177" t="s">
        <v>945</v>
      </c>
      <c r="E2" s="177" t="s">
        <v>60</v>
      </c>
    </row>
    <row r="3" spans="2:5">
      <c r="B3" s="4" t="s">
        <v>62</v>
      </c>
      <c r="C3" s="174">
        <v>613.05921499999999</v>
      </c>
      <c r="D3" s="175">
        <v>220.484736</v>
      </c>
      <c r="E3" s="175">
        <f>C3-D3</f>
        <v>392.574479</v>
      </c>
    </row>
    <row r="4" spans="2:5">
      <c r="B4" s="4" t="s">
        <v>61</v>
      </c>
      <c r="C4" s="174">
        <v>63.100324000000001</v>
      </c>
      <c r="D4" s="175">
        <v>0</v>
      </c>
      <c r="E4" s="175">
        <f t="shared" ref="E4:E13" si="0">C4-D4</f>
        <v>63.100324000000001</v>
      </c>
    </row>
    <row r="5" spans="2:5">
      <c r="B5" s="4" t="s">
        <v>63</v>
      </c>
      <c r="C5" s="174">
        <v>1697.2166789999999</v>
      </c>
      <c r="D5" s="175">
        <v>443.30120500000004</v>
      </c>
      <c r="E5" s="175">
        <f t="shared" si="0"/>
        <v>1253.9154739999999</v>
      </c>
    </row>
    <row r="6" spans="2:5">
      <c r="B6" s="4" t="s">
        <v>946</v>
      </c>
      <c r="C6" s="174">
        <v>0</v>
      </c>
      <c r="D6" s="175">
        <v>0</v>
      </c>
      <c r="E6" s="175">
        <f t="shared" si="0"/>
        <v>0</v>
      </c>
    </row>
    <row r="7" spans="2:5">
      <c r="B7" s="4" t="s">
        <v>64</v>
      </c>
      <c r="C7" s="174">
        <v>0</v>
      </c>
      <c r="D7" s="175">
        <v>0</v>
      </c>
      <c r="E7" s="175">
        <f t="shared" si="0"/>
        <v>0</v>
      </c>
    </row>
    <row r="8" spans="2:5">
      <c r="B8" s="4" t="s">
        <v>65</v>
      </c>
      <c r="C8" s="174">
        <v>40.080170000000003</v>
      </c>
      <c r="D8" s="175">
        <v>0</v>
      </c>
      <c r="E8" s="175">
        <f t="shared" si="0"/>
        <v>40.080170000000003</v>
      </c>
    </row>
    <row r="9" spans="2:5">
      <c r="B9" s="4" t="s">
        <v>66</v>
      </c>
      <c r="C9" s="174">
        <v>1.2211209999999999</v>
      </c>
      <c r="D9" s="175">
        <v>0</v>
      </c>
      <c r="E9" s="175">
        <f t="shared" si="0"/>
        <v>1.2211209999999999</v>
      </c>
    </row>
    <row r="10" spans="2:5">
      <c r="B10" s="4" t="s">
        <v>947</v>
      </c>
      <c r="C10" s="174">
        <v>19.035779000000002</v>
      </c>
      <c r="D10" s="175">
        <v>0</v>
      </c>
      <c r="E10" s="175">
        <f t="shared" si="0"/>
        <v>19.035779000000002</v>
      </c>
    </row>
    <row r="11" spans="2:5">
      <c r="B11" s="4" t="s">
        <v>948</v>
      </c>
      <c r="C11" s="174">
        <v>0</v>
      </c>
      <c r="D11" s="175">
        <v>0</v>
      </c>
      <c r="E11" s="175">
        <f t="shared" si="0"/>
        <v>0</v>
      </c>
    </row>
    <row r="12" spans="2:5">
      <c r="B12" s="4" t="s">
        <v>949</v>
      </c>
      <c r="C12" s="174">
        <v>96.263072999999991</v>
      </c>
      <c r="D12" s="175">
        <v>0</v>
      </c>
      <c r="E12" s="175">
        <f t="shared" si="0"/>
        <v>96.263072999999991</v>
      </c>
    </row>
    <row r="13" spans="2:5">
      <c r="B13" s="4" t="s">
        <v>950</v>
      </c>
      <c r="C13" s="174">
        <v>249.47132500000001</v>
      </c>
      <c r="D13" s="175">
        <v>0</v>
      </c>
      <c r="E13" s="175">
        <f t="shared" si="0"/>
        <v>249.47132500000001</v>
      </c>
    </row>
    <row r="14" spans="2:5">
      <c r="B14" s="4" t="s">
        <v>28</v>
      </c>
      <c r="C14" s="175">
        <f>SUM(C3:C13)</f>
        <v>2779.447686</v>
      </c>
      <c r="D14" s="175">
        <f>SUM(D3:D13)</f>
        <v>663.78594100000009</v>
      </c>
      <c r="E14" s="175">
        <f>SUM(E3:E13)</f>
        <v>2115.6617449999999</v>
      </c>
    </row>
    <row r="15" spans="2:5">
      <c r="E15" s="43">
        <f>'报告（自动生成）'!C58-存货分类!E14</f>
        <v>3.0000000001564331E-3</v>
      </c>
    </row>
  </sheetData>
  <phoneticPr fontId="6" type="noConversion"/>
  <pageMargins left="0.69930555555555596" right="0.69930555555555596"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F14"/>
  <sheetViews>
    <sheetView zoomScale="90" zoomScaleNormal="90" workbookViewId="0">
      <selection activeCell="E19" sqref="E19"/>
    </sheetView>
  </sheetViews>
  <sheetFormatPr defaultColWidth="9" defaultRowHeight="14.4"/>
  <cols>
    <col min="1" max="1" width="3" style="8" customWidth="1"/>
    <col min="2" max="2" width="43.5" style="8" bestFit="1" customWidth="1"/>
    <col min="3" max="3" width="22.8984375" style="8" customWidth="1"/>
    <col min="4" max="5" width="15.5" style="8" customWidth="1"/>
    <col min="6" max="6" width="23" style="8" customWidth="1"/>
    <col min="7" max="16384" width="9" style="8"/>
  </cols>
  <sheetData>
    <row r="1" spans="2:6">
      <c r="B1" s="13" t="s">
        <v>154</v>
      </c>
      <c r="F1" s="39">
        <f>应收账款明细!$K$1</f>
        <v>44012</v>
      </c>
    </row>
    <row r="2" spans="2:6">
      <c r="B2" s="58" t="s">
        <v>153</v>
      </c>
      <c r="C2" s="58" t="s">
        <v>44</v>
      </c>
      <c r="D2" s="58" t="s">
        <v>27</v>
      </c>
      <c r="E2" s="58" t="s">
        <v>90</v>
      </c>
      <c r="F2" s="58" t="s">
        <v>57</v>
      </c>
    </row>
    <row r="3" spans="2:6">
      <c r="B3" s="2" t="s">
        <v>951</v>
      </c>
      <c r="C3" s="10">
        <v>26.003522</v>
      </c>
      <c r="D3" s="12"/>
      <c r="E3" s="12"/>
      <c r="F3" s="11"/>
    </row>
    <row r="4" spans="2:6">
      <c r="B4" s="2"/>
      <c r="C4" s="10"/>
      <c r="D4" s="12"/>
      <c r="E4" s="12"/>
      <c r="F4" s="11"/>
    </row>
    <row r="5" spans="2:6">
      <c r="B5" s="2"/>
      <c r="C5" s="10"/>
      <c r="D5" s="12"/>
      <c r="E5" s="12"/>
      <c r="F5" s="11"/>
    </row>
    <row r="6" spans="2:6">
      <c r="B6" s="2"/>
      <c r="C6" s="10"/>
      <c r="D6" s="12"/>
      <c r="E6" s="12"/>
      <c r="F6" s="11"/>
    </row>
    <row r="7" spans="2:6">
      <c r="B7" s="2"/>
      <c r="C7" s="10"/>
      <c r="D7" s="12"/>
      <c r="E7" s="12"/>
      <c r="F7" s="11"/>
    </row>
    <row r="8" spans="2:6">
      <c r="B8" s="2"/>
      <c r="C8" s="10"/>
      <c r="D8" s="12"/>
      <c r="E8" s="12"/>
      <c r="F8" s="11"/>
    </row>
    <row r="9" spans="2:6">
      <c r="B9" s="2"/>
      <c r="C9" s="10"/>
      <c r="D9" s="12"/>
      <c r="E9" s="12"/>
      <c r="F9" s="11"/>
    </row>
    <row r="10" spans="2:6">
      <c r="B10" s="2"/>
      <c r="C10" s="10"/>
      <c r="D10" s="12"/>
      <c r="E10" s="12"/>
      <c r="F10" s="11"/>
    </row>
    <row r="11" spans="2:6">
      <c r="B11" s="2"/>
      <c r="C11" s="10"/>
      <c r="D11" s="12"/>
      <c r="E11" s="12"/>
      <c r="F11" s="10"/>
    </row>
    <row r="12" spans="2:6">
      <c r="B12" s="2"/>
      <c r="C12" s="10"/>
      <c r="D12" s="12"/>
      <c r="E12" s="12"/>
      <c r="F12" s="10"/>
    </row>
    <row r="13" spans="2:6">
      <c r="B13" s="10" t="s">
        <v>28</v>
      </c>
      <c r="C13" s="10">
        <f>SUM(C3:C12)</f>
        <v>26.003522</v>
      </c>
      <c r="D13" s="12"/>
      <c r="E13" s="12"/>
      <c r="F13" s="11"/>
    </row>
    <row r="14" spans="2:6">
      <c r="C14" s="43">
        <f>'报告（自动生成）'!C61-其他流动资产!C13</f>
        <v>0</v>
      </c>
    </row>
  </sheetData>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E13"/>
  <sheetViews>
    <sheetView zoomScale="90" zoomScaleNormal="90" workbookViewId="0">
      <selection activeCell="Q31" sqref="Q31"/>
    </sheetView>
  </sheetViews>
  <sheetFormatPr defaultRowHeight="15.6"/>
  <cols>
    <col min="1" max="1" width="2.09765625" customWidth="1"/>
    <col min="2" max="2" width="22.09765625" customWidth="1"/>
    <col min="3" max="3" width="12" customWidth="1"/>
    <col min="4" max="4" width="11.59765625" customWidth="1"/>
    <col min="5" max="5" width="20.09765625" customWidth="1"/>
  </cols>
  <sheetData>
    <row r="1" spans="2:5">
      <c r="B1" s="13" t="s">
        <v>108</v>
      </c>
      <c r="C1" s="8"/>
      <c r="D1" s="8"/>
      <c r="E1" s="39">
        <f>应收账款明细!$K$1</f>
        <v>44012</v>
      </c>
    </row>
    <row r="2" spans="2:5">
      <c r="B2" s="58" t="s">
        <v>121</v>
      </c>
      <c r="C2" s="58" t="s">
        <v>44</v>
      </c>
      <c r="D2" s="58" t="s">
        <v>124</v>
      </c>
      <c r="E2" s="58" t="s">
        <v>57</v>
      </c>
    </row>
    <row r="3" spans="2:5">
      <c r="B3" s="2" t="s">
        <v>870</v>
      </c>
      <c r="C3" s="10"/>
      <c r="D3" s="12"/>
      <c r="E3" s="11"/>
    </row>
    <row r="4" spans="2:5">
      <c r="B4" s="2"/>
      <c r="C4" s="10"/>
      <c r="D4" s="12"/>
      <c r="E4" s="11"/>
    </row>
    <row r="5" spans="2:5">
      <c r="B5" s="2"/>
      <c r="C5" s="10"/>
      <c r="D5" s="12"/>
      <c r="E5" s="11"/>
    </row>
    <row r="6" spans="2:5">
      <c r="B6" s="2"/>
      <c r="C6" s="10"/>
      <c r="D6" s="12"/>
      <c r="E6" s="11"/>
    </row>
    <row r="7" spans="2:5">
      <c r="B7" s="2"/>
      <c r="C7" s="10"/>
      <c r="D7" s="12"/>
      <c r="E7" s="11"/>
    </row>
    <row r="8" spans="2:5">
      <c r="B8" s="2"/>
      <c r="C8" s="10"/>
      <c r="D8" s="12"/>
      <c r="E8" s="11"/>
    </row>
    <row r="9" spans="2:5">
      <c r="B9" s="2"/>
      <c r="C9" s="10"/>
      <c r="D9" s="12"/>
      <c r="E9" s="11"/>
    </row>
    <row r="10" spans="2:5">
      <c r="B10" s="2"/>
      <c r="C10" s="10"/>
      <c r="D10" s="12"/>
      <c r="E10" s="11"/>
    </row>
    <row r="11" spans="2:5">
      <c r="B11" s="2"/>
      <c r="C11" s="10"/>
      <c r="D11" s="12"/>
      <c r="E11" s="10"/>
    </row>
    <row r="12" spans="2:5">
      <c r="B12" s="2"/>
      <c r="C12" s="10"/>
      <c r="D12" s="12"/>
      <c r="E12" s="10"/>
    </row>
    <row r="13" spans="2:5">
      <c r="B13" s="10" t="s">
        <v>28</v>
      </c>
      <c r="C13" s="10">
        <f>SUM(C3:C12)</f>
        <v>0</v>
      </c>
      <c r="D13" s="12"/>
      <c r="E13" s="11"/>
    </row>
  </sheetData>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F13"/>
  <sheetViews>
    <sheetView zoomScale="90" zoomScaleNormal="90" workbookViewId="0">
      <selection activeCell="B4" sqref="B4"/>
    </sheetView>
  </sheetViews>
  <sheetFormatPr defaultRowHeight="15.6"/>
  <cols>
    <col min="1" max="1" width="1.8984375" customWidth="1"/>
    <col min="2" max="2" width="22.09765625" customWidth="1"/>
    <col min="3" max="4" width="15" customWidth="1"/>
    <col min="5" max="5" width="11.59765625" customWidth="1"/>
    <col min="6" max="6" width="20.09765625" customWidth="1"/>
  </cols>
  <sheetData>
    <row r="1" spans="2:6">
      <c r="B1" s="13" t="s">
        <v>123</v>
      </c>
      <c r="C1" s="8"/>
      <c r="D1" s="8"/>
      <c r="E1" s="8"/>
      <c r="F1" s="39">
        <f>应收账款明细!$K$1</f>
        <v>44012</v>
      </c>
    </row>
    <row r="2" spans="2:6">
      <c r="B2" s="58" t="s">
        <v>121</v>
      </c>
      <c r="C2" s="58" t="s">
        <v>44</v>
      </c>
      <c r="D2" s="58" t="s">
        <v>124</v>
      </c>
      <c r="E2" s="58" t="s">
        <v>122</v>
      </c>
      <c r="F2" s="58" t="s">
        <v>57</v>
      </c>
    </row>
    <row r="3" spans="2:6">
      <c r="B3" s="2" t="s">
        <v>870</v>
      </c>
      <c r="C3" s="10"/>
      <c r="D3" s="10"/>
      <c r="E3" s="12"/>
      <c r="F3" s="11"/>
    </row>
    <row r="4" spans="2:6">
      <c r="B4" s="2"/>
      <c r="C4" s="10"/>
      <c r="D4" s="10"/>
      <c r="E4" s="12"/>
      <c r="F4" s="11"/>
    </row>
    <row r="5" spans="2:6">
      <c r="B5" s="2"/>
      <c r="C5" s="10"/>
      <c r="D5" s="10"/>
      <c r="E5" s="12"/>
      <c r="F5" s="11"/>
    </row>
    <row r="6" spans="2:6">
      <c r="B6" s="2"/>
      <c r="C6" s="10"/>
      <c r="D6" s="10"/>
      <c r="E6" s="12"/>
      <c r="F6" s="11"/>
    </row>
    <row r="7" spans="2:6">
      <c r="B7" s="2"/>
      <c r="C7" s="10"/>
      <c r="D7" s="10"/>
      <c r="E7" s="12"/>
      <c r="F7" s="11"/>
    </row>
    <row r="8" spans="2:6">
      <c r="B8" s="2"/>
      <c r="C8" s="10"/>
      <c r="D8" s="10"/>
      <c r="E8" s="12"/>
      <c r="F8" s="11"/>
    </row>
    <row r="9" spans="2:6">
      <c r="B9" s="2"/>
      <c r="C9" s="10"/>
      <c r="D9" s="10"/>
      <c r="E9" s="12"/>
      <c r="F9" s="11"/>
    </row>
    <row r="10" spans="2:6">
      <c r="B10" s="2"/>
      <c r="C10" s="10"/>
      <c r="D10" s="10"/>
      <c r="E10" s="12"/>
      <c r="F10" s="11"/>
    </row>
    <row r="11" spans="2:6">
      <c r="B11" s="2"/>
      <c r="C11" s="10"/>
      <c r="D11" s="10"/>
      <c r="E11" s="12"/>
      <c r="F11" s="10"/>
    </row>
    <row r="12" spans="2:6">
      <c r="B12" s="2"/>
      <c r="C12" s="10"/>
      <c r="D12" s="10"/>
      <c r="E12" s="12"/>
      <c r="F12" s="10"/>
    </row>
    <row r="13" spans="2:6">
      <c r="B13" s="10" t="s">
        <v>28</v>
      </c>
      <c r="C13" s="10">
        <f>SUM(C3:C12)</f>
        <v>0</v>
      </c>
      <c r="D13" s="10"/>
      <c r="E13" s="12"/>
      <c r="F13" s="11"/>
    </row>
  </sheetData>
  <phoneticPr fontId="6"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F13"/>
  <sheetViews>
    <sheetView zoomScale="90" zoomScaleNormal="90" workbookViewId="0">
      <selection activeCell="H26" sqref="H26"/>
    </sheetView>
  </sheetViews>
  <sheetFormatPr defaultColWidth="9" defaultRowHeight="14.4"/>
  <cols>
    <col min="1" max="1" width="3" style="8" customWidth="1"/>
    <col min="2" max="2" width="51.8984375" style="8" customWidth="1"/>
    <col min="3" max="3" width="22.8984375" style="8" customWidth="1"/>
    <col min="4" max="5" width="15.5" style="8" customWidth="1"/>
    <col min="6" max="6" width="23" style="8" customWidth="1"/>
    <col min="7" max="16384" width="9" style="8"/>
  </cols>
  <sheetData>
    <row r="1" spans="2:6">
      <c r="B1" s="13" t="s">
        <v>155</v>
      </c>
      <c r="F1" s="39">
        <f>应收账款明细!$K$1</f>
        <v>44012</v>
      </c>
    </row>
    <row r="2" spans="2:6">
      <c r="B2" s="58" t="s">
        <v>153</v>
      </c>
      <c r="C2" s="58" t="s">
        <v>156</v>
      </c>
      <c r="D2" s="58" t="s">
        <v>91</v>
      </c>
      <c r="E2" s="58" t="s">
        <v>157</v>
      </c>
      <c r="F2" s="58" t="s">
        <v>57</v>
      </c>
    </row>
    <row r="3" spans="2:6">
      <c r="B3" s="2" t="s">
        <v>432</v>
      </c>
      <c r="C3" s="10">
        <f>6.6+30.58</f>
        <v>37.18</v>
      </c>
      <c r="D3" s="12"/>
      <c r="E3" s="12"/>
      <c r="F3" s="11"/>
    </row>
    <row r="4" spans="2:6">
      <c r="B4" s="2"/>
      <c r="C4" s="10"/>
      <c r="D4" s="12"/>
      <c r="E4" s="12"/>
      <c r="F4" s="11"/>
    </row>
    <row r="5" spans="2:6">
      <c r="B5" s="2"/>
      <c r="C5" s="10"/>
      <c r="D5" s="12"/>
      <c r="E5" s="12"/>
      <c r="F5" s="11"/>
    </row>
    <row r="6" spans="2:6">
      <c r="B6" s="2"/>
      <c r="C6" s="10"/>
      <c r="D6" s="12"/>
      <c r="E6" s="12"/>
      <c r="F6" s="11"/>
    </row>
    <row r="7" spans="2:6">
      <c r="B7" s="2"/>
      <c r="C7" s="10"/>
      <c r="D7" s="12"/>
      <c r="E7" s="12"/>
      <c r="F7" s="11"/>
    </row>
    <row r="8" spans="2:6">
      <c r="B8" s="2"/>
      <c r="C8" s="10"/>
      <c r="D8" s="12"/>
      <c r="E8" s="12"/>
      <c r="F8" s="11"/>
    </row>
    <row r="9" spans="2:6">
      <c r="B9" s="2"/>
      <c r="C9" s="10"/>
      <c r="D9" s="12"/>
      <c r="E9" s="12"/>
      <c r="F9" s="11"/>
    </row>
    <row r="10" spans="2:6">
      <c r="B10" s="2"/>
      <c r="C10" s="10"/>
      <c r="D10" s="12"/>
      <c r="E10" s="12"/>
      <c r="F10" s="11"/>
    </row>
    <row r="11" spans="2:6">
      <c r="B11" s="2"/>
      <c r="C11" s="10"/>
      <c r="D11" s="12"/>
      <c r="E11" s="12"/>
      <c r="F11" s="10"/>
    </row>
    <row r="12" spans="2:6">
      <c r="B12" s="2"/>
      <c r="C12" s="10"/>
      <c r="D12" s="12"/>
      <c r="E12" s="12"/>
      <c r="F12" s="10"/>
    </row>
    <row r="13" spans="2:6">
      <c r="B13" s="10" t="s">
        <v>28</v>
      </c>
      <c r="C13" s="10">
        <f>SUM(C3:C12)</f>
        <v>37.18</v>
      </c>
      <c r="D13" s="12"/>
      <c r="E13" s="12"/>
      <c r="F13" s="11"/>
    </row>
  </sheetData>
  <phoneticPr fontId="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9"/>
  <sheetViews>
    <sheetView zoomScale="90" zoomScaleNormal="90" workbookViewId="0">
      <selection activeCell="F2" sqref="F2"/>
    </sheetView>
  </sheetViews>
  <sheetFormatPr defaultColWidth="9" defaultRowHeight="14.4"/>
  <cols>
    <col min="1" max="1" width="2.09765625" style="8" customWidth="1"/>
    <col min="2" max="2" width="19.5" style="8" customWidth="1"/>
    <col min="3" max="4" width="16.09765625" style="8" bestFit="1" customWidth="1"/>
    <col min="5" max="5" width="12.09765625" style="8" customWidth="1"/>
    <col min="6" max="6" width="17.09765625" style="8" bestFit="1" customWidth="1"/>
    <col min="7" max="7" width="12.59765625" style="8"/>
    <col min="8" max="16384" width="9" style="8"/>
  </cols>
  <sheetData>
    <row r="1" spans="2:10">
      <c r="B1" s="13" t="s">
        <v>67</v>
      </c>
      <c r="F1" s="39">
        <v>44012</v>
      </c>
    </row>
    <row r="2" spans="2:10">
      <c r="B2" s="67" t="s">
        <v>68</v>
      </c>
      <c r="C2" s="67" t="s">
        <v>69</v>
      </c>
      <c r="D2" s="67" t="s">
        <v>70</v>
      </c>
      <c r="E2" s="67" t="s">
        <v>59</v>
      </c>
      <c r="F2" s="67" t="s">
        <v>60</v>
      </c>
    </row>
    <row r="3" spans="2:10">
      <c r="B3" s="28" t="s">
        <v>952</v>
      </c>
      <c r="C3" s="29">
        <v>636.81642999999997</v>
      </c>
      <c r="D3" s="29">
        <v>400.72704599999997</v>
      </c>
      <c r="E3" s="29">
        <v>0</v>
      </c>
      <c r="F3" s="29">
        <v>236.089384</v>
      </c>
      <c r="G3" s="43"/>
      <c r="H3" s="43"/>
      <c r="I3" s="43"/>
      <c r="J3" s="43"/>
    </row>
    <row r="4" spans="2:10">
      <c r="B4" s="28" t="s">
        <v>953</v>
      </c>
      <c r="C4" s="29">
        <v>59.623880000000007</v>
      </c>
      <c r="D4" s="29">
        <v>28.013820000000003</v>
      </c>
      <c r="E4" s="29">
        <v>0</v>
      </c>
      <c r="F4" s="29">
        <v>31.610060000000004</v>
      </c>
      <c r="G4" s="43"/>
      <c r="H4" s="43"/>
      <c r="I4" s="43"/>
      <c r="J4" s="43"/>
    </row>
    <row r="5" spans="2:10">
      <c r="B5" s="28" t="s">
        <v>954</v>
      </c>
      <c r="C5" s="29">
        <v>166.34946599999998</v>
      </c>
      <c r="D5" s="29">
        <v>73.775993999999997</v>
      </c>
      <c r="E5" s="29">
        <v>0</v>
      </c>
      <c r="F5" s="29">
        <v>92.573471999999995</v>
      </c>
      <c r="G5" s="43"/>
      <c r="H5" s="43"/>
      <c r="I5" s="43"/>
      <c r="J5" s="43"/>
    </row>
    <row r="6" spans="2:10">
      <c r="B6" s="28" t="s">
        <v>955</v>
      </c>
      <c r="C6" s="29">
        <v>35.756698</v>
      </c>
      <c r="D6" s="29">
        <v>3.6877629999999999</v>
      </c>
      <c r="E6" s="29">
        <v>0</v>
      </c>
      <c r="F6" s="29">
        <v>32.068934999999996</v>
      </c>
      <c r="G6" s="43"/>
      <c r="H6" s="43"/>
      <c r="I6" s="43"/>
      <c r="J6" s="43"/>
    </row>
    <row r="7" spans="2:10">
      <c r="B7" s="24" t="s">
        <v>956</v>
      </c>
      <c r="C7" s="29">
        <v>198.32131799999999</v>
      </c>
      <c r="D7" s="29">
        <v>160.29949999999999</v>
      </c>
      <c r="E7" s="29">
        <v>0</v>
      </c>
      <c r="F7" s="29">
        <v>38.021817999999996</v>
      </c>
      <c r="G7" s="43"/>
      <c r="H7" s="43"/>
      <c r="I7" s="43"/>
      <c r="J7" s="43"/>
    </row>
    <row r="8" spans="2:10">
      <c r="B8" s="24" t="s">
        <v>28</v>
      </c>
      <c r="C8" s="29">
        <f>SUM(C3:C7)</f>
        <v>1096.867792</v>
      </c>
      <c r="D8" s="29">
        <f>SUM(D3:D7)</f>
        <v>666.50412299999994</v>
      </c>
      <c r="E8" s="29">
        <f>SUM(E3:E7)</f>
        <v>0</v>
      </c>
      <c r="F8" s="29">
        <f t="shared" ref="F8" si="0">C8-D8-E8</f>
        <v>430.36366900000007</v>
      </c>
    </row>
    <row r="9" spans="2:10">
      <c r="F9" s="43">
        <f>'报告（自动生成）'!C68-固定资产构成表!F8</f>
        <v>0</v>
      </c>
    </row>
  </sheetData>
  <phoneticPr fontId="6" type="noConversion"/>
  <pageMargins left="0.69930555555555596" right="0.69930555555555596"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F8"/>
  <sheetViews>
    <sheetView zoomScale="90" zoomScaleNormal="90" workbookViewId="0">
      <selection activeCell="B4" sqref="B4"/>
    </sheetView>
  </sheetViews>
  <sheetFormatPr defaultColWidth="9" defaultRowHeight="14.4"/>
  <cols>
    <col min="1" max="1" width="2.09765625" style="8" customWidth="1"/>
    <col min="2" max="2" width="19.5" style="8" customWidth="1"/>
    <col min="3" max="3" width="16.09765625" style="8" bestFit="1" customWidth="1"/>
    <col min="4" max="4" width="13" style="8" customWidth="1"/>
    <col min="5" max="5" width="12.09765625" style="8" customWidth="1"/>
    <col min="6" max="6" width="15" style="8" customWidth="1"/>
    <col min="7" max="16384" width="9" style="8"/>
  </cols>
  <sheetData>
    <row r="1" spans="2:6">
      <c r="B1" s="13" t="s">
        <v>101</v>
      </c>
      <c r="F1" s="39">
        <f>应收账款明细!$K$1</f>
        <v>44012</v>
      </c>
    </row>
    <row r="2" spans="2:6">
      <c r="B2" s="67" t="s">
        <v>83</v>
      </c>
      <c r="C2" s="67" t="s">
        <v>105</v>
      </c>
      <c r="D2" s="67" t="s">
        <v>102</v>
      </c>
      <c r="E2" s="67" t="s">
        <v>103</v>
      </c>
      <c r="F2" s="67" t="s">
        <v>104</v>
      </c>
    </row>
    <row r="3" spans="2:6">
      <c r="B3" s="28" t="s">
        <v>870</v>
      </c>
      <c r="C3" s="29"/>
      <c r="D3" s="29"/>
      <c r="E3" s="29"/>
      <c r="F3" s="29"/>
    </row>
    <row r="4" spans="2:6">
      <c r="B4" s="28"/>
      <c r="C4" s="29"/>
      <c r="D4" s="29"/>
      <c r="E4" s="29"/>
      <c r="F4" s="29"/>
    </row>
    <row r="5" spans="2:6">
      <c r="B5" s="28"/>
      <c r="C5" s="29"/>
      <c r="D5" s="29"/>
      <c r="E5" s="29"/>
      <c r="F5" s="29"/>
    </row>
    <row r="6" spans="2:6">
      <c r="B6" s="28"/>
      <c r="C6" s="29"/>
      <c r="D6" s="29"/>
      <c r="E6" s="29"/>
      <c r="F6" s="29"/>
    </row>
    <row r="7" spans="2:6">
      <c r="B7" s="24"/>
      <c r="C7" s="29"/>
      <c r="D7" s="29"/>
      <c r="E7" s="29"/>
      <c r="F7" s="29"/>
    </row>
    <row r="8" spans="2:6">
      <c r="B8" s="24" t="s">
        <v>28</v>
      </c>
      <c r="C8" s="29">
        <f>SUM(C3:C7)</f>
        <v>0</v>
      </c>
      <c r="D8" s="29">
        <f>SUM(D3:D7)</f>
        <v>0</v>
      </c>
      <c r="E8" s="29">
        <f>SUM(E3:E7)</f>
        <v>0</v>
      </c>
      <c r="F8" s="29">
        <f>SUM(F3:F7)</f>
        <v>0</v>
      </c>
    </row>
  </sheetData>
  <phoneticPr fontId="6" type="noConversion"/>
  <pageMargins left="0.7" right="0.7" top="0.75" bottom="0.75" header="0.3" footer="0.3"/>
  <pageSetup paperSize="9"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I8"/>
  <sheetViews>
    <sheetView zoomScale="90" zoomScaleNormal="90" workbookViewId="0">
      <selection activeCell="D12" sqref="D12"/>
    </sheetView>
  </sheetViews>
  <sheetFormatPr defaultColWidth="9" defaultRowHeight="14.4"/>
  <cols>
    <col min="1" max="1" width="2.09765625" style="8" customWidth="1"/>
    <col min="2" max="2" width="19.8984375" style="8" customWidth="1"/>
    <col min="3" max="3" width="13.8984375" style="8" bestFit="1" customWidth="1"/>
    <col min="4" max="4" width="19.59765625" style="8" customWidth="1"/>
    <col min="5" max="5" width="19.3984375" style="8" customWidth="1"/>
    <col min="6" max="6" width="22" style="8" customWidth="1"/>
    <col min="7" max="16384" width="9" style="8"/>
  </cols>
  <sheetData>
    <row r="1" spans="2:9">
      <c r="B1" s="13" t="s">
        <v>71</v>
      </c>
      <c r="F1" s="39">
        <f>应收账款明细!$K$1</f>
        <v>44012</v>
      </c>
    </row>
    <row r="2" spans="2:9">
      <c r="B2" s="58" t="s">
        <v>3</v>
      </c>
      <c r="C2" s="58" t="s">
        <v>72</v>
      </c>
      <c r="D2" s="58" t="s">
        <v>73</v>
      </c>
      <c r="E2" s="58" t="s">
        <v>74</v>
      </c>
      <c r="F2" s="58" t="s">
        <v>60</v>
      </c>
    </row>
    <row r="3" spans="2:9">
      <c r="B3" s="9" t="s">
        <v>957</v>
      </c>
      <c r="C3" s="30" t="s">
        <v>958</v>
      </c>
      <c r="D3" s="23">
        <v>924.89</v>
      </c>
      <c r="E3" s="23">
        <v>924.89</v>
      </c>
      <c r="F3" s="24">
        <v>0</v>
      </c>
      <c r="G3" s="43"/>
      <c r="H3" s="43"/>
      <c r="I3" s="43"/>
    </row>
    <row r="4" spans="2:9">
      <c r="B4" s="9" t="s">
        <v>959</v>
      </c>
      <c r="C4" s="30" t="s">
        <v>960</v>
      </c>
      <c r="D4" s="23">
        <v>488.61693200000002</v>
      </c>
      <c r="E4" s="23">
        <v>24.430848000000001</v>
      </c>
      <c r="F4" s="24">
        <v>464.18608399999999</v>
      </c>
      <c r="G4" s="43"/>
      <c r="H4" s="43"/>
      <c r="I4" s="43"/>
    </row>
    <row r="5" spans="2:9">
      <c r="B5" s="9"/>
      <c r="C5" s="30"/>
      <c r="D5" s="24"/>
      <c r="E5" s="24"/>
      <c r="F5" s="24">
        <f t="shared" ref="F5:F6" si="0">D5-E5</f>
        <v>0</v>
      </c>
    </row>
    <row r="6" spans="2:9">
      <c r="B6" s="9"/>
      <c r="C6" s="30"/>
      <c r="D6" s="24"/>
      <c r="E6" s="24"/>
      <c r="F6" s="24">
        <f t="shared" si="0"/>
        <v>0</v>
      </c>
    </row>
    <row r="7" spans="2:9">
      <c r="B7" s="9" t="s">
        <v>28</v>
      </c>
      <c r="C7" s="30"/>
      <c r="D7" s="31">
        <f>SUM(D3:D6)</f>
        <v>1413.506932</v>
      </c>
      <c r="E7" s="31">
        <f>SUM(E3:E6)</f>
        <v>949.32084799999996</v>
      </c>
      <c r="F7" s="24">
        <f>SUM(F3:F6)</f>
        <v>464.18608399999999</v>
      </c>
    </row>
    <row r="8" spans="2:9">
      <c r="F8" s="43">
        <f>'报告（自动生成）'!C72-F7</f>
        <v>0</v>
      </c>
    </row>
  </sheetData>
  <phoneticPr fontId="6" type="noConversion"/>
  <pageMargins left="0.69930555555555596" right="0.69930555555555596"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E8"/>
  <sheetViews>
    <sheetView zoomScale="90" zoomScaleNormal="90" zoomScaleSheetLayoutView="90" workbookViewId="0">
      <selection activeCell="I17" sqref="I17"/>
    </sheetView>
  </sheetViews>
  <sheetFormatPr defaultColWidth="9" defaultRowHeight="14.4"/>
  <cols>
    <col min="1" max="1" width="2.09765625" style="8" customWidth="1"/>
    <col min="2" max="2" width="19.8984375" style="8" customWidth="1"/>
    <col min="3" max="3" width="19.59765625" style="8" customWidth="1"/>
    <col min="4" max="4" width="19.3984375" style="8" customWidth="1"/>
    <col min="5" max="5" width="22" style="8" customWidth="1"/>
    <col min="6" max="16384" width="9" style="8"/>
  </cols>
  <sheetData>
    <row r="1" spans="2:5">
      <c r="B1" s="13" t="s">
        <v>281</v>
      </c>
      <c r="E1" s="39">
        <f>应收账款明细!$K$1</f>
        <v>44012</v>
      </c>
    </row>
    <row r="2" spans="2:5">
      <c r="B2" s="58" t="s">
        <v>3</v>
      </c>
      <c r="C2" s="58" t="s">
        <v>73</v>
      </c>
      <c r="D2" s="58" t="s">
        <v>74</v>
      </c>
      <c r="E2" s="58" t="s">
        <v>60</v>
      </c>
    </row>
    <row r="3" spans="2:5">
      <c r="B3" s="9" t="s">
        <v>870</v>
      </c>
      <c r="C3" s="23"/>
      <c r="D3" s="23"/>
      <c r="E3" s="24">
        <f>C3-D3</f>
        <v>0</v>
      </c>
    </row>
    <row r="4" spans="2:5">
      <c r="B4" s="9"/>
      <c r="C4" s="23"/>
      <c r="D4" s="23"/>
      <c r="E4" s="24">
        <f t="shared" ref="E4:E6" si="0">C4-D4</f>
        <v>0</v>
      </c>
    </row>
    <row r="5" spans="2:5">
      <c r="B5" s="9"/>
      <c r="C5" s="24"/>
      <c r="D5" s="24"/>
      <c r="E5" s="24">
        <f t="shared" si="0"/>
        <v>0</v>
      </c>
    </row>
    <row r="6" spans="2:5">
      <c r="B6" s="9"/>
      <c r="C6" s="24"/>
      <c r="D6" s="24"/>
      <c r="E6" s="24">
        <f t="shared" si="0"/>
        <v>0</v>
      </c>
    </row>
    <row r="7" spans="2:5">
      <c r="B7" s="9" t="s">
        <v>28</v>
      </c>
      <c r="C7" s="31">
        <f>SUM(C3:C6)</f>
        <v>0</v>
      </c>
      <c r="D7" s="31">
        <f>SUM(D3:D6)</f>
        <v>0</v>
      </c>
      <c r="E7" s="24">
        <f>SUM(E3:E6)</f>
        <v>0</v>
      </c>
    </row>
    <row r="8" spans="2:5">
      <c r="E8" s="43">
        <f>'报告（自动生成）'!D75-E7</f>
        <v>0</v>
      </c>
    </row>
  </sheetData>
  <phoneticPr fontId="6"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F13"/>
  <sheetViews>
    <sheetView zoomScale="90" zoomScaleNormal="90" workbookViewId="0">
      <selection activeCell="F17" sqref="F17"/>
    </sheetView>
  </sheetViews>
  <sheetFormatPr defaultColWidth="9" defaultRowHeight="14.4"/>
  <cols>
    <col min="1" max="1" width="3" style="8" customWidth="1"/>
    <col min="2" max="2" width="33.59765625" style="8" customWidth="1"/>
    <col min="3" max="3" width="22.8984375" style="8" customWidth="1"/>
    <col min="4" max="5" width="15.5" style="8" customWidth="1"/>
    <col min="6" max="6" width="23" style="8" customWidth="1"/>
    <col min="7" max="16384" width="9" style="8"/>
  </cols>
  <sheetData>
    <row r="1" spans="2:6">
      <c r="B1" s="13" t="s">
        <v>158</v>
      </c>
      <c r="F1" s="39">
        <f>应收账款明细!$K$1</f>
        <v>44012</v>
      </c>
    </row>
    <row r="2" spans="2:6">
      <c r="B2" s="58" t="s">
        <v>153</v>
      </c>
      <c r="C2" s="58" t="s">
        <v>44</v>
      </c>
      <c r="D2" s="58" t="s">
        <v>27</v>
      </c>
      <c r="E2" s="58" t="s">
        <v>90</v>
      </c>
      <c r="F2" s="58" t="s">
        <v>57</v>
      </c>
    </row>
    <row r="3" spans="2:6">
      <c r="B3" s="2" t="s">
        <v>870</v>
      </c>
      <c r="C3" s="10"/>
      <c r="D3" s="12"/>
      <c r="E3" s="12"/>
      <c r="F3" s="11"/>
    </row>
    <row r="4" spans="2:6">
      <c r="B4" s="2"/>
      <c r="C4" s="10"/>
      <c r="D4" s="12"/>
      <c r="E4" s="12"/>
      <c r="F4" s="11"/>
    </row>
    <row r="5" spans="2:6">
      <c r="B5" s="2"/>
      <c r="C5" s="10"/>
      <c r="D5" s="12"/>
      <c r="E5" s="12"/>
      <c r="F5" s="11"/>
    </row>
    <row r="6" spans="2:6">
      <c r="B6" s="2"/>
      <c r="C6" s="10"/>
      <c r="D6" s="12"/>
      <c r="E6" s="12"/>
      <c r="F6" s="11"/>
    </row>
    <row r="7" spans="2:6">
      <c r="B7" s="2"/>
      <c r="C7" s="10"/>
      <c r="D7" s="12"/>
      <c r="E7" s="12"/>
      <c r="F7" s="11"/>
    </row>
    <row r="8" spans="2:6">
      <c r="B8" s="2"/>
      <c r="C8" s="10"/>
      <c r="D8" s="12"/>
      <c r="E8" s="12"/>
      <c r="F8" s="11"/>
    </row>
    <row r="9" spans="2:6">
      <c r="B9" s="2"/>
      <c r="C9" s="10"/>
      <c r="D9" s="12"/>
      <c r="E9" s="12"/>
      <c r="F9" s="11"/>
    </row>
    <row r="10" spans="2:6">
      <c r="B10" s="2"/>
      <c r="C10" s="10"/>
      <c r="D10" s="12"/>
      <c r="E10" s="12"/>
      <c r="F10" s="11"/>
    </row>
    <row r="11" spans="2:6">
      <c r="B11" s="2"/>
      <c r="C11" s="10"/>
      <c r="D11" s="12"/>
      <c r="E11" s="12"/>
      <c r="F11" s="10"/>
    </row>
    <row r="12" spans="2:6">
      <c r="B12" s="2"/>
      <c r="C12" s="10"/>
      <c r="D12" s="12"/>
      <c r="E12" s="12"/>
      <c r="F12" s="10"/>
    </row>
    <row r="13" spans="2:6">
      <c r="B13" s="10" t="s">
        <v>28</v>
      </c>
      <c r="C13" s="10">
        <f>SUM(C3:C12)</f>
        <v>0</v>
      </c>
      <c r="D13" s="12"/>
      <c r="E13" s="12"/>
      <c r="F13" s="11"/>
    </row>
  </sheetData>
  <phoneticPr fontId="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H24"/>
  <sheetViews>
    <sheetView zoomScale="90" zoomScaleNormal="90" workbookViewId="0">
      <selection activeCell="C24" sqref="C24"/>
    </sheetView>
  </sheetViews>
  <sheetFormatPr defaultColWidth="9" defaultRowHeight="14.4"/>
  <cols>
    <col min="1" max="1" width="2.59765625" style="8" customWidth="1"/>
    <col min="2" max="2" width="14.59765625" style="8" bestFit="1" customWidth="1"/>
    <col min="3" max="3" width="17.5" style="8" customWidth="1"/>
    <col min="4" max="4" width="28.09765625" style="156" bestFit="1" customWidth="1"/>
    <col min="5" max="5" width="24.8984375" style="8" bestFit="1" customWidth="1"/>
    <col min="6" max="6" width="15" style="8" bestFit="1" customWidth="1"/>
    <col min="7" max="8" width="11.8984375" style="8" bestFit="1" customWidth="1"/>
    <col min="9" max="16384" width="9" style="8"/>
  </cols>
  <sheetData>
    <row r="1" spans="2:8">
      <c r="B1" s="13" t="s">
        <v>75</v>
      </c>
      <c r="F1" s="39">
        <f>应收账款明细!$K$1</f>
        <v>44012</v>
      </c>
    </row>
    <row r="2" spans="2:8">
      <c r="B2" s="58" t="s">
        <v>76</v>
      </c>
      <c r="C2" s="58" t="s">
        <v>77</v>
      </c>
      <c r="D2" s="157" t="s">
        <v>117</v>
      </c>
      <c r="E2" s="58" t="s">
        <v>57</v>
      </c>
      <c r="F2" s="58" t="s">
        <v>92</v>
      </c>
      <c r="G2" s="58" t="s">
        <v>876</v>
      </c>
      <c r="H2" s="58" t="s">
        <v>877</v>
      </c>
    </row>
    <row r="3" spans="2:8" ht="15" customHeight="1">
      <c r="B3" s="1" t="s">
        <v>871</v>
      </c>
      <c r="C3" s="112">
        <v>400</v>
      </c>
      <c r="D3" s="158">
        <v>3.85E-2</v>
      </c>
      <c r="E3" s="1" t="s">
        <v>878</v>
      </c>
      <c r="F3" s="166"/>
      <c r="G3" s="165">
        <v>43973</v>
      </c>
      <c r="H3" s="161">
        <v>44245</v>
      </c>
    </row>
    <row r="4" spans="2:8" ht="15" customHeight="1">
      <c r="B4" s="1" t="s">
        <v>871</v>
      </c>
      <c r="C4" s="112">
        <v>400</v>
      </c>
      <c r="D4" s="158">
        <v>3.85E-2</v>
      </c>
      <c r="E4" s="1" t="s">
        <v>878</v>
      </c>
      <c r="F4" s="166"/>
      <c r="G4" s="165">
        <v>43973</v>
      </c>
      <c r="H4" s="161">
        <v>44273</v>
      </c>
    </row>
    <row r="5" spans="2:8" ht="15" customHeight="1">
      <c r="B5" s="1" t="s">
        <v>871</v>
      </c>
      <c r="C5" s="112">
        <v>400</v>
      </c>
      <c r="D5" s="158">
        <v>4.3499999999999997E-2</v>
      </c>
      <c r="E5" s="1" t="s">
        <v>878</v>
      </c>
      <c r="F5" s="167"/>
      <c r="G5" s="162">
        <v>43658</v>
      </c>
      <c r="H5" s="162">
        <v>44023</v>
      </c>
    </row>
    <row r="6" spans="2:8" ht="15" customHeight="1">
      <c r="B6" s="1" t="s">
        <v>871</v>
      </c>
      <c r="C6" s="112">
        <v>300</v>
      </c>
      <c r="D6" s="158">
        <v>4.3499999999999997E-2</v>
      </c>
      <c r="E6" s="1" t="s">
        <v>878</v>
      </c>
      <c r="F6" s="166"/>
      <c r="G6" s="162">
        <v>43678</v>
      </c>
      <c r="H6" s="162">
        <v>44043</v>
      </c>
    </row>
    <row r="7" spans="2:8" ht="15" customHeight="1">
      <c r="B7" s="1" t="s">
        <v>871</v>
      </c>
      <c r="C7" s="112">
        <v>500</v>
      </c>
      <c r="D7" s="158">
        <v>4.3499999999999997E-2</v>
      </c>
      <c r="E7" s="1" t="s">
        <v>879</v>
      </c>
      <c r="F7" s="166"/>
      <c r="G7" s="161">
        <v>43782</v>
      </c>
      <c r="H7" s="161">
        <v>44147</v>
      </c>
    </row>
    <row r="8" spans="2:8" ht="15" customHeight="1">
      <c r="B8" s="1" t="s">
        <v>871</v>
      </c>
      <c r="C8" s="112">
        <v>300</v>
      </c>
      <c r="D8" s="158">
        <v>4.3499999999999997E-2</v>
      </c>
      <c r="E8" s="1" t="s">
        <v>878</v>
      </c>
      <c r="F8" s="166"/>
      <c r="G8" s="163">
        <v>43731</v>
      </c>
      <c r="H8" s="163">
        <v>44032</v>
      </c>
    </row>
    <row r="9" spans="2:8" ht="15" customHeight="1">
      <c r="B9" s="1" t="s">
        <v>871</v>
      </c>
      <c r="C9" s="112">
        <v>600</v>
      </c>
      <c r="D9" s="158">
        <v>4.3499999999999997E-2</v>
      </c>
      <c r="E9" s="1" t="s">
        <v>878</v>
      </c>
      <c r="F9" s="166"/>
      <c r="G9" s="161">
        <v>43731</v>
      </c>
      <c r="H9" s="161">
        <v>44096</v>
      </c>
    </row>
    <row r="10" spans="2:8" ht="15" customHeight="1">
      <c r="B10" s="1" t="s">
        <v>872</v>
      </c>
      <c r="C10" s="112">
        <v>499</v>
      </c>
      <c r="D10" s="158">
        <v>5.2200000000000003E-2</v>
      </c>
      <c r="E10" s="1" t="s">
        <v>882</v>
      </c>
      <c r="F10" s="166"/>
      <c r="G10" s="161">
        <v>43797</v>
      </c>
      <c r="H10" s="161">
        <v>44162</v>
      </c>
    </row>
    <row r="11" spans="2:8" ht="15" customHeight="1">
      <c r="B11" s="1" t="s">
        <v>873</v>
      </c>
      <c r="C11" s="112">
        <v>500</v>
      </c>
      <c r="D11" s="158">
        <v>4.4999999999999998E-2</v>
      </c>
      <c r="E11" s="1" t="s">
        <v>879</v>
      </c>
      <c r="F11" s="166"/>
      <c r="G11" s="161">
        <v>43923</v>
      </c>
      <c r="H11" s="161">
        <v>44265</v>
      </c>
    </row>
    <row r="12" spans="2:8" ht="15" customHeight="1">
      <c r="B12" s="1" t="s">
        <v>873</v>
      </c>
      <c r="C12" s="112">
        <v>100</v>
      </c>
      <c r="D12" s="158">
        <v>4.4999999999999998E-2</v>
      </c>
      <c r="E12" s="1" t="s">
        <v>880</v>
      </c>
      <c r="F12" s="166"/>
      <c r="G12" s="164">
        <v>43929</v>
      </c>
      <c r="H12" s="164">
        <v>44265</v>
      </c>
    </row>
    <row r="13" spans="2:8" ht="15" customHeight="1">
      <c r="B13" s="1" t="s">
        <v>874</v>
      </c>
      <c r="C13" s="112">
        <v>200</v>
      </c>
      <c r="D13" s="158">
        <v>5.6550000000000003E-2</v>
      </c>
      <c r="E13" s="1" t="s">
        <v>881</v>
      </c>
      <c r="F13" s="166"/>
      <c r="G13" s="164">
        <v>43833</v>
      </c>
      <c r="H13" s="164">
        <v>44198</v>
      </c>
    </row>
    <row r="14" spans="2:8" ht="15.6">
      <c r="B14" s="1" t="s">
        <v>875</v>
      </c>
      <c r="C14" s="112">
        <v>300</v>
      </c>
      <c r="D14" s="159">
        <v>4.3499999999999997E-2</v>
      </c>
      <c r="E14" s="1" t="s">
        <v>880</v>
      </c>
      <c r="F14" s="166"/>
      <c r="G14" s="164">
        <v>44012</v>
      </c>
      <c r="H14" s="164">
        <v>44376</v>
      </c>
    </row>
    <row r="15" spans="2:8">
      <c r="B15" s="1"/>
      <c r="C15" s="112"/>
      <c r="D15" s="158"/>
      <c r="E15" s="1"/>
      <c r="F15" s="166"/>
    </row>
    <row r="16" spans="2:8">
      <c r="B16" s="4" t="s">
        <v>28</v>
      </c>
      <c r="C16" s="92">
        <f>SUM(C3:C15)</f>
        <v>4499</v>
      </c>
      <c r="D16" s="160"/>
      <c r="E16" s="4"/>
      <c r="F16" s="166"/>
    </row>
    <row r="17" spans="2:8">
      <c r="C17" s="168">
        <f>'报告（自动生成）'!C80-C16</f>
        <v>0</v>
      </c>
    </row>
    <row r="19" spans="2:8">
      <c r="B19" s="13" t="s">
        <v>883</v>
      </c>
      <c r="F19" s="39">
        <f>应收账款明细!$K$1</f>
        <v>44012</v>
      </c>
    </row>
    <row r="20" spans="2:8">
      <c r="B20" s="58" t="s">
        <v>76</v>
      </c>
      <c r="C20" s="58" t="s">
        <v>77</v>
      </c>
      <c r="D20" s="157" t="s">
        <v>117</v>
      </c>
      <c r="E20" s="58" t="s">
        <v>57</v>
      </c>
      <c r="F20" s="58" t="s">
        <v>92</v>
      </c>
      <c r="G20" s="58" t="s">
        <v>876</v>
      </c>
      <c r="H20" s="58" t="s">
        <v>877</v>
      </c>
    </row>
    <row r="21" spans="2:8" ht="15" customHeight="1">
      <c r="B21" s="1" t="s">
        <v>884</v>
      </c>
      <c r="C21" s="112">
        <v>194</v>
      </c>
      <c r="D21" s="155">
        <v>0.06</v>
      </c>
      <c r="E21" s="1" t="s">
        <v>880</v>
      </c>
      <c r="F21" s="166"/>
      <c r="G21" s="165">
        <v>43922</v>
      </c>
      <c r="H21" s="161">
        <v>45012</v>
      </c>
    </row>
    <row r="22" spans="2:8" ht="15" customHeight="1">
      <c r="B22" s="1"/>
      <c r="C22" s="112"/>
      <c r="D22" s="158"/>
      <c r="E22" s="1"/>
      <c r="F22" s="166"/>
      <c r="G22" s="169"/>
      <c r="H22" s="161"/>
    </row>
    <row r="23" spans="2:8">
      <c r="B23" s="4" t="s">
        <v>28</v>
      </c>
      <c r="C23" s="92">
        <f>SUM(C21:C22)</f>
        <v>194</v>
      </c>
      <c r="D23" s="160"/>
      <c r="E23" s="4"/>
      <c r="F23" s="166"/>
      <c r="G23" s="4"/>
      <c r="H23" s="4"/>
    </row>
    <row r="24" spans="2:8">
      <c r="C24" s="168">
        <f>'报告（自动生成）'!C93-C23</f>
        <v>0</v>
      </c>
    </row>
  </sheetData>
  <phoneticPr fontId="6" type="noConversion"/>
  <pageMargins left="0.69930555555555596" right="0.69930555555555596"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E31"/>
  <sheetViews>
    <sheetView zoomScale="90" zoomScaleNormal="90" workbookViewId="0">
      <selection activeCell="F26" sqref="F26"/>
    </sheetView>
  </sheetViews>
  <sheetFormatPr defaultColWidth="9" defaultRowHeight="14.4"/>
  <cols>
    <col min="1" max="1" width="2.59765625" style="8" customWidth="1"/>
    <col min="2" max="2" width="10.09765625" style="8" customWidth="1"/>
    <col min="3" max="3" width="45.3984375" style="8" customWidth="1"/>
    <col min="4" max="4" width="18.8984375" style="8" customWidth="1"/>
    <col min="5" max="5" width="14.3984375" style="8" bestFit="1" customWidth="1"/>
    <col min="6" max="16384" width="9" style="8"/>
  </cols>
  <sheetData>
    <row r="1" spans="2:5">
      <c r="B1" s="13" t="s">
        <v>78</v>
      </c>
      <c r="E1" s="39">
        <f>应收账款明细!$K$1</f>
        <v>44012</v>
      </c>
    </row>
    <row r="2" spans="2:5">
      <c r="B2" s="58" t="s">
        <v>42</v>
      </c>
      <c r="C2" s="58" t="s">
        <v>93</v>
      </c>
      <c r="D2" s="58" t="s">
        <v>44</v>
      </c>
      <c r="E2" s="58" t="s">
        <v>48</v>
      </c>
    </row>
    <row r="3" spans="2:5">
      <c r="B3" s="11">
        <v>1</v>
      </c>
      <c r="C3" s="26" t="s">
        <v>433</v>
      </c>
      <c r="D3" s="32">
        <v>45.451884</v>
      </c>
      <c r="E3" s="10" t="s">
        <v>442</v>
      </c>
    </row>
    <row r="4" spans="2:5">
      <c r="B4" s="11">
        <v>2</v>
      </c>
      <c r="C4" s="26" t="s">
        <v>434</v>
      </c>
      <c r="D4" s="10">
        <v>42.928559</v>
      </c>
      <c r="E4" s="10" t="s">
        <v>443</v>
      </c>
    </row>
    <row r="5" spans="2:5">
      <c r="B5" s="11">
        <v>3</v>
      </c>
      <c r="C5" s="26" t="s">
        <v>435</v>
      </c>
      <c r="D5" s="10">
        <v>52.4</v>
      </c>
      <c r="E5" s="10" t="s">
        <v>442</v>
      </c>
    </row>
    <row r="6" spans="2:5">
      <c r="B6" s="11">
        <v>4</v>
      </c>
      <c r="C6" s="26" t="s">
        <v>436</v>
      </c>
      <c r="D6" s="10">
        <v>43</v>
      </c>
      <c r="E6" s="10" t="s">
        <v>816</v>
      </c>
    </row>
    <row r="7" spans="2:5">
      <c r="B7" s="11">
        <v>5</v>
      </c>
      <c r="C7" s="26" t="s">
        <v>433</v>
      </c>
      <c r="D7" s="10">
        <v>398.37639999999999</v>
      </c>
      <c r="E7" s="10" t="s">
        <v>442</v>
      </c>
    </row>
    <row r="8" spans="2:5">
      <c r="B8" s="11">
        <v>6</v>
      </c>
      <c r="C8" s="26" t="s">
        <v>437</v>
      </c>
      <c r="D8" s="10">
        <v>35</v>
      </c>
      <c r="E8" s="10" t="s">
        <v>80</v>
      </c>
    </row>
    <row r="9" spans="2:5">
      <c r="B9" s="11">
        <v>7</v>
      </c>
      <c r="C9" s="26" t="s">
        <v>438</v>
      </c>
      <c r="D9" s="10">
        <v>441.60174299999994</v>
      </c>
      <c r="E9" s="10" t="s">
        <v>442</v>
      </c>
    </row>
    <row r="10" spans="2:5">
      <c r="B10" s="11">
        <v>8</v>
      </c>
      <c r="C10" s="26" t="s">
        <v>439</v>
      </c>
      <c r="D10" s="10">
        <v>41.521878000000001</v>
      </c>
      <c r="E10" s="10" t="s">
        <v>442</v>
      </c>
    </row>
    <row r="11" spans="2:5">
      <c r="B11" s="11">
        <v>9</v>
      </c>
      <c r="C11" s="26" t="s">
        <v>440</v>
      </c>
      <c r="D11" s="10">
        <v>40.294595999999999</v>
      </c>
      <c r="E11" s="10" t="s">
        <v>442</v>
      </c>
    </row>
    <row r="12" spans="2:5">
      <c r="B12" s="11">
        <v>10</v>
      </c>
      <c r="C12" s="26" t="s">
        <v>441</v>
      </c>
      <c r="D12" s="10">
        <v>42.452469000000001</v>
      </c>
      <c r="E12" s="10" t="s">
        <v>442</v>
      </c>
    </row>
    <row r="13" spans="2:5">
      <c r="B13" s="35" t="s">
        <v>28</v>
      </c>
      <c r="C13" s="26"/>
      <c r="D13" s="10">
        <f>SUM(D3:D12)</f>
        <v>1183.027529</v>
      </c>
      <c r="E13" s="10"/>
    </row>
    <row r="15" spans="2:5">
      <c r="B15" s="13" t="s">
        <v>79</v>
      </c>
    </row>
    <row r="16" spans="2:5">
      <c r="B16" s="58"/>
      <c r="C16" s="58" t="s">
        <v>44</v>
      </c>
    </row>
    <row r="17" spans="2:5">
      <c r="B17" s="4" t="s">
        <v>51</v>
      </c>
      <c r="C17" s="24">
        <v>1038.926858</v>
      </c>
      <c r="D17" s="43"/>
    </row>
    <row r="18" spans="2:5">
      <c r="B18" s="4" t="s">
        <v>52</v>
      </c>
      <c r="C18" s="24">
        <v>520.58078999999987</v>
      </c>
      <c r="D18" s="43"/>
      <c r="E18" s="43"/>
    </row>
    <row r="19" spans="2:5">
      <c r="B19" s="4" t="s">
        <v>53</v>
      </c>
      <c r="C19" s="24">
        <v>87.861466000000021</v>
      </c>
      <c r="D19" s="43"/>
    </row>
    <row r="20" spans="2:5">
      <c r="B20" s="4" t="s">
        <v>80</v>
      </c>
      <c r="C20" s="24">
        <v>36.588974000000043</v>
      </c>
      <c r="D20" s="43"/>
    </row>
    <row r="21" spans="2:5">
      <c r="B21" s="4" t="s">
        <v>28</v>
      </c>
      <c r="C21" s="24">
        <f>SUM(C17:C20)</f>
        <v>1683.9580879999999</v>
      </c>
      <c r="D21" s="34"/>
    </row>
    <row r="23" spans="2:5">
      <c r="B23" s="13" t="s">
        <v>318</v>
      </c>
    </row>
    <row r="24" spans="2:5">
      <c r="B24" s="58" t="s">
        <v>297</v>
      </c>
      <c r="C24" s="58" t="s">
        <v>44</v>
      </c>
    </row>
    <row r="25" spans="2:5">
      <c r="B25" s="4"/>
      <c r="C25" s="24"/>
    </row>
    <row r="26" spans="2:5">
      <c r="B26" s="4"/>
      <c r="C26" s="24"/>
    </row>
    <row r="27" spans="2:5">
      <c r="B27" s="4"/>
      <c r="C27" s="24"/>
    </row>
    <row r="28" spans="2:5">
      <c r="B28" s="4"/>
      <c r="C28" s="24"/>
    </row>
    <row r="29" spans="2:5">
      <c r="B29" s="4"/>
      <c r="C29" s="4"/>
    </row>
    <row r="30" spans="2:5">
      <c r="B30" s="4"/>
      <c r="C30" s="4"/>
    </row>
    <row r="31" spans="2:5">
      <c r="B31" s="4" t="s">
        <v>28</v>
      </c>
      <c r="C31" s="24">
        <f>SUM(C25:C30)</f>
        <v>0</v>
      </c>
    </row>
  </sheetData>
  <phoneticPr fontId="6" type="noConversion"/>
  <pageMargins left="0.69930555555555596" right="0.69930555555555596"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D290"/>
  <sheetViews>
    <sheetView zoomScale="90" zoomScaleNormal="90" workbookViewId="0">
      <selection activeCell="D289" sqref="D289"/>
    </sheetView>
  </sheetViews>
  <sheetFormatPr defaultColWidth="9" defaultRowHeight="14.4"/>
  <cols>
    <col min="1" max="1" width="2.09765625" style="8" customWidth="1"/>
    <col min="2" max="2" width="49" style="8" bestFit="1" customWidth="1"/>
    <col min="3" max="3" width="20.59765625" style="8" customWidth="1"/>
    <col min="4" max="16384" width="9" style="8"/>
  </cols>
  <sheetData>
    <row r="1" spans="2:3">
      <c r="B1" s="13" t="s">
        <v>81</v>
      </c>
      <c r="C1" s="39">
        <f>应收账款明细!$K$1</f>
        <v>44012</v>
      </c>
    </row>
    <row r="2" spans="2:3">
      <c r="B2" s="58" t="s">
        <v>43</v>
      </c>
      <c r="C2" s="58" t="s">
        <v>44</v>
      </c>
    </row>
    <row r="3" spans="2:3">
      <c r="B3" s="58" t="s">
        <v>444</v>
      </c>
      <c r="C3" s="67">
        <v>4.1999999999999998E-5</v>
      </c>
    </row>
    <row r="4" spans="2:3">
      <c r="B4" s="58" t="s">
        <v>445</v>
      </c>
      <c r="C4" s="67">
        <v>3.4470269999999998</v>
      </c>
    </row>
    <row r="5" spans="2:3">
      <c r="B5" s="58" t="s">
        <v>446</v>
      </c>
      <c r="C5" s="67">
        <v>0.57979999999999998</v>
      </c>
    </row>
    <row r="6" spans="2:3">
      <c r="B6" s="58" t="s">
        <v>447</v>
      </c>
      <c r="C6" s="67">
        <v>4.3999999999999997E-2</v>
      </c>
    </row>
    <row r="7" spans="2:3">
      <c r="B7" s="58" t="s">
        <v>448</v>
      </c>
      <c r="C7" s="67">
        <v>0.36990000000000001</v>
      </c>
    </row>
    <row r="8" spans="2:3">
      <c r="B8" s="58" t="s">
        <v>449</v>
      </c>
      <c r="C8" s="67">
        <v>0.3</v>
      </c>
    </row>
    <row r="9" spans="2:3">
      <c r="B9" s="58" t="s">
        <v>450</v>
      </c>
      <c r="C9" s="67">
        <v>0.17499999999999999</v>
      </c>
    </row>
    <row r="10" spans="2:3">
      <c r="B10" s="58" t="s">
        <v>451</v>
      </c>
      <c r="C10" s="67">
        <v>6.0688000000000004</v>
      </c>
    </row>
    <row r="11" spans="2:3">
      <c r="B11" s="58" t="s">
        <v>452</v>
      </c>
      <c r="C11" s="67">
        <v>4.4999999999999998E-2</v>
      </c>
    </row>
    <row r="12" spans="2:3">
      <c r="B12" s="58" t="s">
        <v>453</v>
      </c>
      <c r="C12" s="67">
        <v>0.35</v>
      </c>
    </row>
    <row r="13" spans="2:3">
      <c r="B13" s="58" t="s">
        <v>454</v>
      </c>
      <c r="C13" s="67">
        <v>0.47</v>
      </c>
    </row>
    <row r="14" spans="2:3">
      <c r="B14" s="58" t="s">
        <v>455</v>
      </c>
      <c r="C14" s="67">
        <v>0.04</v>
      </c>
    </row>
    <row r="15" spans="2:3">
      <c r="B15" s="58" t="s">
        <v>456</v>
      </c>
      <c r="C15" s="67">
        <v>4.2000000000000003E-2</v>
      </c>
    </row>
    <row r="16" spans="2:3">
      <c r="B16" s="58" t="s">
        <v>457</v>
      </c>
      <c r="C16" s="67">
        <v>1.1000000000000001</v>
      </c>
    </row>
    <row r="17" spans="2:3">
      <c r="B17" s="58" t="s">
        <v>458</v>
      </c>
      <c r="C17" s="67">
        <v>0.32990000000000003</v>
      </c>
    </row>
    <row r="18" spans="2:3">
      <c r="B18" s="58" t="s">
        <v>459</v>
      </c>
      <c r="C18" s="67">
        <v>0.65980000000000005</v>
      </c>
    </row>
    <row r="19" spans="2:3">
      <c r="B19" s="58" t="s">
        <v>460</v>
      </c>
      <c r="C19" s="67">
        <v>6.3328259999999998</v>
      </c>
    </row>
    <row r="20" spans="2:3">
      <c r="B20" s="58" t="s">
        <v>461</v>
      </c>
      <c r="C20" s="67">
        <v>0.14430000000000001</v>
      </c>
    </row>
    <row r="21" spans="2:3">
      <c r="B21" s="58" t="s">
        <v>462</v>
      </c>
      <c r="C21" s="67">
        <v>0.2</v>
      </c>
    </row>
    <row r="22" spans="2:3">
      <c r="B22" s="58" t="s">
        <v>463</v>
      </c>
      <c r="C22" s="67">
        <v>0.6</v>
      </c>
    </row>
    <row r="23" spans="2:3">
      <c r="B23" s="58" t="s">
        <v>464</v>
      </c>
      <c r="C23" s="67">
        <v>1.06</v>
      </c>
    </row>
    <row r="24" spans="2:3">
      <c r="B24" s="58" t="s">
        <v>465</v>
      </c>
      <c r="C24" s="67">
        <v>7.1999999999999995E-2</v>
      </c>
    </row>
    <row r="25" spans="2:3">
      <c r="B25" s="58" t="s">
        <v>466</v>
      </c>
      <c r="C25" s="67">
        <v>0.36990000000000001</v>
      </c>
    </row>
    <row r="26" spans="2:3">
      <c r="B26" s="58" t="s">
        <v>467</v>
      </c>
      <c r="C26" s="67">
        <v>4.3686999999999996</v>
      </c>
    </row>
    <row r="27" spans="2:3">
      <c r="B27" s="58" t="s">
        <v>468</v>
      </c>
      <c r="C27" s="67">
        <v>0.36990000000000001</v>
      </c>
    </row>
    <row r="28" spans="2:3">
      <c r="B28" s="58" t="s">
        <v>469</v>
      </c>
      <c r="C28" s="67">
        <v>0.65980000000000005</v>
      </c>
    </row>
    <row r="29" spans="2:3">
      <c r="B29" s="58" t="s">
        <v>470</v>
      </c>
      <c r="C29" s="67">
        <v>2.5000000000000001E-3</v>
      </c>
    </row>
    <row r="30" spans="2:3">
      <c r="B30" s="58" t="s">
        <v>471</v>
      </c>
      <c r="C30" s="67">
        <v>0.75</v>
      </c>
    </row>
    <row r="31" spans="2:3">
      <c r="B31" s="58" t="s">
        <v>472</v>
      </c>
      <c r="C31" s="67">
        <v>0.16</v>
      </c>
    </row>
    <row r="32" spans="2:3">
      <c r="B32" s="58" t="s">
        <v>473</v>
      </c>
      <c r="C32" s="67">
        <v>0.21</v>
      </c>
    </row>
    <row r="33" spans="2:3">
      <c r="B33" s="58" t="s">
        <v>474</v>
      </c>
      <c r="C33" s="67">
        <v>4.4999999999999998E-2</v>
      </c>
    </row>
    <row r="34" spans="2:3">
      <c r="B34" s="58" t="s">
        <v>475</v>
      </c>
      <c r="C34" s="67">
        <v>0.08</v>
      </c>
    </row>
    <row r="35" spans="2:3">
      <c r="B35" s="58" t="s">
        <v>445</v>
      </c>
      <c r="C35" s="67">
        <v>5.2299089999999993</v>
      </c>
    </row>
    <row r="36" spans="2:3">
      <c r="B36" s="58" t="s">
        <v>476</v>
      </c>
      <c r="C36" s="67">
        <v>0.39550000000000002</v>
      </c>
    </row>
    <row r="37" spans="2:3">
      <c r="B37" s="58" t="s">
        <v>477</v>
      </c>
      <c r="C37" s="67">
        <v>0.8</v>
      </c>
    </row>
    <row r="38" spans="2:3">
      <c r="B38" s="58" t="s">
        <v>478</v>
      </c>
      <c r="C38" s="67">
        <v>2.5999999999999999E-2</v>
      </c>
    </row>
    <row r="39" spans="2:3">
      <c r="B39" s="58" t="s">
        <v>479</v>
      </c>
      <c r="C39" s="67">
        <v>3.2370000000000001</v>
      </c>
    </row>
    <row r="40" spans="2:3">
      <c r="B40" s="58" t="s">
        <v>480</v>
      </c>
      <c r="C40" s="67">
        <v>8.9999999999999993E-3</v>
      </c>
    </row>
    <row r="41" spans="2:3">
      <c r="B41" s="58" t="s">
        <v>481</v>
      </c>
      <c r="C41" s="67">
        <v>0.77700000000000002</v>
      </c>
    </row>
    <row r="42" spans="2:3">
      <c r="B42" s="58" t="s">
        <v>482</v>
      </c>
      <c r="C42" s="67">
        <v>9.0999999999999998E-2</v>
      </c>
    </row>
    <row r="43" spans="2:3">
      <c r="B43" s="58" t="s">
        <v>483</v>
      </c>
      <c r="C43" s="67">
        <v>0.11</v>
      </c>
    </row>
    <row r="44" spans="2:3">
      <c r="B44" s="58" t="s">
        <v>484</v>
      </c>
      <c r="C44" s="67">
        <v>3.5840000000000001</v>
      </c>
    </row>
    <row r="45" spans="2:3">
      <c r="B45" s="58" t="s">
        <v>485</v>
      </c>
      <c r="C45" s="67">
        <v>1.65</v>
      </c>
    </row>
    <row r="46" spans="2:3">
      <c r="B46" s="58" t="s">
        <v>486</v>
      </c>
      <c r="C46" s="67">
        <v>0.09</v>
      </c>
    </row>
    <row r="47" spans="2:3">
      <c r="B47" s="58" t="s">
        <v>487</v>
      </c>
      <c r="C47" s="67">
        <v>0.38800000000000001</v>
      </c>
    </row>
    <row r="48" spans="2:3">
      <c r="B48" s="58" t="s">
        <v>488</v>
      </c>
      <c r="C48" s="67">
        <v>4.4999999999999998E-2</v>
      </c>
    </row>
    <row r="49" spans="2:3">
      <c r="B49" s="58" t="s">
        <v>489</v>
      </c>
      <c r="C49" s="67">
        <v>0.56000000000000005</v>
      </c>
    </row>
    <row r="50" spans="2:3">
      <c r="B50" s="58" t="s">
        <v>490</v>
      </c>
      <c r="C50" s="67">
        <v>2.4279999999999999</v>
      </c>
    </row>
    <row r="51" spans="2:3">
      <c r="B51" s="58" t="s">
        <v>491</v>
      </c>
      <c r="C51" s="67">
        <v>8.7999999999999995E-2</v>
      </c>
    </row>
    <row r="52" spans="2:3">
      <c r="B52" s="58" t="s">
        <v>492</v>
      </c>
      <c r="C52" s="67">
        <v>5.6</v>
      </c>
    </row>
    <row r="53" spans="2:3">
      <c r="B53" s="58" t="s">
        <v>493</v>
      </c>
      <c r="C53" s="67">
        <v>0.19</v>
      </c>
    </row>
    <row r="54" spans="2:3">
      <c r="B54" s="58" t="s">
        <v>494</v>
      </c>
      <c r="C54" s="67">
        <v>0.27</v>
      </c>
    </row>
    <row r="55" spans="2:3">
      <c r="B55" s="58" t="s">
        <v>495</v>
      </c>
      <c r="C55" s="67">
        <v>0.27700000000000002</v>
      </c>
    </row>
    <row r="56" spans="2:3">
      <c r="B56" s="58" t="s">
        <v>496</v>
      </c>
      <c r="C56" s="67">
        <v>2.5486</v>
      </c>
    </row>
    <row r="57" spans="2:3">
      <c r="B57" s="58" t="s">
        <v>497</v>
      </c>
      <c r="C57" s="67">
        <v>7.1999999999999995E-2</v>
      </c>
    </row>
    <row r="58" spans="2:3">
      <c r="B58" s="58" t="s">
        <v>498</v>
      </c>
      <c r="C58" s="67">
        <v>0.1469</v>
      </c>
    </row>
    <row r="59" spans="2:3">
      <c r="B59" s="58" t="s">
        <v>499</v>
      </c>
      <c r="C59" s="67">
        <v>1.8216000000000001</v>
      </c>
    </row>
    <row r="60" spans="2:3">
      <c r="B60" s="58" t="s">
        <v>500</v>
      </c>
      <c r="C60" s="67">
        <v>0.22</v>
      </c>
    </row>
    <row r="61" spans="2:3">
      <c r="B61" s="58" t="s">
        <v>501</v>
      </c>
      <c r="C61" s="67">
        <v>0.05</v>
      </c>
    </row>
    <row r="62" spans="2:3">
      <c r="B62" s="58" t="s">
        <v>502</v>
      </c>
      <c r="C62" s="67">
        <v>3.7</v>
      </c>
    </row>
    <row r="63" spans="2:3">
      <c r="B63" s="58" t="s">
        <v>503</v>
      </c>
      <c r="C63" s="67">
        <v>5.6000000000000001E-2</v>
      </c>
    </row>
    <row r="64" spans="2:3">
      <c r="B64" s="58" t="s">
        <v>504</v>
      </c>
      <c r="C64" s="67">
        <v>0.217</v>
      </c>
    </row>
    <row r="65" spans="2:3">
      <c r="B65" s="58" t="s">
        <v>505</v>
      </c>
      <c r="C65" s="67">
        <v>3.5000000000000003E-2</v>
      </c>
    </row>
    <row r="66" spans="2:3">
      <c r="B66" s="58" t="s">
        <v>506</v>
      </c>
      <c r="C66" s="67">
        <v>0.91520000000000001</v>
      </c>
    </row>
    <row r="67" spans="2:3">
      <c r="B67" s="58" t="s">
        <v>507</v>
      </c>
      <c r="C67" s="67">
        <v>1.7999999999999999E-2</v>
      </c>
    </row>
    <row r="68" spans="2:3">
      <c r="B68" s="58" t="s">
        <v>508</v>
      </c>
      <c r="C68" s="67">
        <v>0.45</v>
      </c>
    </row>
    <row r="69" spans="2:3">
      <c r="B69" s="58" t="s">
        <v>509</v>
      </c>
      <c r="C69" s="67">
        <v>0.14799999999999999</v>
      </c>
    </row>
    <row r="70" spans="2:3">
      <c r="B70" s="58" t="s">
        <v>510</v>
      </c>
      <c r="C70" s="67">
        <v>0.28799999999999998</v>
      </c>
    </row>
    <row r="71" spans="2:3">
      <c r="B71" s="58" t="s">
        <v>511</v>
      </c>
      <c r="C71" s="67">
        <v>0.94499999999999995</v>
      </c>
    </row>
    <row r="72" spans="2:3">
      <c r="B72" s="58" t="s">
        <v>512</v>
      </c>
      <c r="C72" s="67">
        <v>0.6</v>
      </c>
    </row>
    <row r="73" spans="2:3">
      <c r="B73" s="58" t="s">
        <v>513</v>
      </c>
      <c r="C73" s="67">
        <v>0.11600000000000001</v>
      </c>
    </row>
    <row r="74" spans="2:3">
      <c r="B74" s="58" t="s">
        <v>514</v>
      </c>
      <c r="C74" s="67">
        <v>5</v>
      </c>
    </row>
    <row r="75" spans="2:3">
      <c r="B75" s="58" t="s">
        <v>515</v>
      </c>
      <c r="C75" s="67">
        <v>1.9999999999999999E-6</v>
      </c>
    </row>
    <row r="76" spans="2:3">
      <c r="B76" s="58" t="s">
        <v>516</v>
      </c>
      <c r="C76" s="67">
        <v>0.7</v>
      </c>
    </row>
    <row r="77" spans="2:3">
      <c r="B77" s="58" t="s">
        <v>517</v>
      </c>
      <c r="C77" s="67">
        <v>0.09</v>
      </c>
    </row>
    <row r="78" spans="2:3">
      <c r="B78" s="58" t="s">
        <v>518</v>
      </c>
      <c r="C78" s="67">
        <v>0.11600000000000001</v>
      </c>
    </row>
    <row r="79" spans="2:3">
      <c r="B79" s="58" t="s">
        <v>519</v>
      </c>
      <c r="C79" s="67">
        <v>6.8000000000000005E-2</v>
      </c>
    </row>
    <row r="80" spans="2:3">
      <c r="B80" s="58" t="s">
        <v>520</v>
      </c>
      <c r="C80" s="67">
        <v>8</v>
      </c>
    </row>
    <row r="81" spans="2:3">
      <c r="B81" s="58" t="s">
        <v>521</v>
      </c>
      <c r="C81" s="67">
        <v>4.1760000000000002</v>
      </c>
    </row>
    <row r="82" spans="2:3">
      <c r="B82" s="58" t="s">
        <v>522</v>
      </c>
      <c r="C82" s="67">
        <v>4.75</v>
      </c>
    </row>
    <row r="83" spans="2:3">
      <c r="B83" s="58" t="s">
        <v>523</v>
      </c>
      <c r="C83" s="67">
        <v>0.68400000000000005</v>
      </c>
    </row>
    <row r="84" spans="2:3">
      <c r="B84" s="58" t="s">
        <v>524</v>
      </c>
      <c r="C84" s="67">
        <v>3.7347999999999999E-2</v>
      </c>
    </row>
    <row r="85" spans="2:3">
      <c r="B85" s="58" t="s">
        <v>525</v>
      </c>
      <c r="C85" s="67">
        <v>0.32</v>
      </c>
    </row>
    <row r="86" spans="2:3">
      <c r="B86" s="58" t="s">
        <v>526</v>
      </c>
      <c r="C86" s="67">
        <v>0.16500000000000001</v>
      </c>
    </row>
    <row r="87" spans="2:3">
      <c r="B87" s="58" t="s">
        <v>527</v>
      </c>
      <c r="C87" s="67">
        <v>0.05</v>
      </c>
    </row>
    <row r="88" spans="2:3">
      <c r="B88" s="58" t="s">
        <v>528</v>
      </c>
      <c r="C88" s="67">
        <v>0.82499999999999996</v>
      </c>
    </row>
    <row r="89" spans="2:3">
      <c r="B89" s="58" t="s">
        <v>529</v>
      </c>
      <c r="C89" s="67">
        <v>0.15</v>
      </c>
    </row>
    <row r="90" spans="2:3">
      <c r="B90" s="58" t="s">
        <v>530</v>
      </c>
      <c r="C90" s="67">
        <v>0.56999999999999995</v>
      </c>
    </row>
    <row r="91" spans="2:3">
      <c r="B91" s="58" t="s">
        <v>531</v>
      </c>
      <c r="C91" s="67">
        <v>21.270700000000001</v>
      </c>
    </row>
    <row r="92" spans="2:3">
      <c r="B92" s="58" t="s">
        <v>532</v>
      </c>
      <c r="C92" s="67">
        <v>16.2</v>
      </c>
    </row>
    <row r="93" spans="2:3">
      <c r="B93" s="58" t="s">
        <v>533</v>
      </c>
      <c r="C93" s="67">
        <v>9.9760000000000009</v>
      </c>
    </row>
    <row r="94" spans="2:3">
      <c r="B94" s="58" t="s">
        <v>534</v>
      </c>
      <c r="C94" s="67">
        <v>0.99</v>
      </c>
    </row>
    <row r="95" spans="2:3">
      <c r="B95" s="58" t="s">
        <v>535</v>
      </c>
      <c r="C95" s="67">
        <v>1.7500000000000002E-2</v>
      </c>
    </row>
    <row r="96" spans="2:3">
      <c r="B96" s="58" t="s">
        <v>536</v>
      </c>
      <c r="C96" s="67">
        <v>0.96</v>
      </c>
    </row>
    <row r="97" spans="2:3">
      <c r="B97" s="58" t="s">
        <v>537</v>
      </c>
      <c r="C97" s="67">
        <v>0.33</v>
      </c>
    </row>
    <row r="98" spans="2:3">
      <c r="B98" s="58" t="s">
        <v>538</v>
      </c>
      <c r="C98" s="67">
        <v>6.6474000000000002</v>
      </c>
    </row>
    <row r="99" spans="2:3">
      <c r="B99" s="58" t="s">
        <v>539</v>
      </c>
      <c r="C99" s="67">
        <v>0.26750000000000002</v>
      </c>
    </row>
    <row r="100" spans="2:3">
      <c r="B100" s="58" t="s">
        <v>540</v>
      </c>
      <c r="C100" s="67">
        <v>4.2000000000000003E-2</v>
      </c>
    </row>
    <row r="101" spans="2:3">
      <c r="B101" s="58" t="s">
        <v>541</v>
      </c>
      <c r="C101" s="67">
        <v>1.145</v>
      </c>
    </row>
    <row r="102" spans="2:3">
      <c r="B102" s="58" t="s">
        <v>542</v>
      </c>
      <c r="C102" s="67">
        <v>0.20399999999999999</v>
      </c>
    </row>
    <row r="103" spans="2:3">
      <c r="B103" s="58" t="s">
        <v>543</v>
      </c>
      <c r="C103" s="67">
        <v>0.61199999999999999</v>
      </c>
    </row>
    <row r="104" spans="2:3">
      <c r="B104" s="58" t="s">
        <v>544</v>
      </c>
      <c r="C104" s="67">
        <v>0.24</v>
      </c>
    </row>
    <row r="105" spans="2:3">
      <c r="B105" s="58" t="s">
        <v>545</v>
      </c>
      <c r="C105" s="67">
        <v>8.16</v>
      </c>
    </row>
    <row r="106" spans="2:3">
      <c r="B106" s="58" t="s">
        <v>546</v>
      </c>
      <c r="C106" s="67">
        <v>1.768</v>
      </c>
    </row>
    <row r="107" spans="2:3">
      <c r="B107" s="58" t="s">
        <v>547</v>
      </c>
      <c r="C107" s="67">
        <v>0.4042</v>
      </c>
    </row>
    <row r="108" spans="2:3">
      <c r="B108" s="58" t="s">
        <v>548</v>
      </c>
      <c r="C108" s="67">
        <v>9.9999999999999995E-7</v>
      </c>
    </row>
    <row r="109" spans="2:3">
      <c r="B109" s="58" t="s">
        <v>549</v>
      </c>
      <c r="C109" s="67">
        <v>0.57999999999999996</v>
      </c>
    </row>
    <row r="110" spans="2:3">
      <c r="B110" s="58" t="s">
        <v>550</v>
      </c>
      <c r="C110" s="67">
        <v>1E-3</v>
      </c>
    </row>
    <row r="111" spans="2:3">
      <c r="B111" s="58" t="s">
        <v>551</v>
      </c>
      <c r="C111" s="67">
        <v>0.1434</v>
      </c>
    </row>
    <row r="112" spans="2:3">
      <c r="B112" s="58" t="s">
        <v>552</v>
      </c>
      <c r="C112" s="67">
        <v>0.64400000000000002</v>
      </c>
    </row>
    <row r="113" spans="2:3">
      <c r="B113" s="58" t="s">
        <v>553</v>
      </c>
      <c r="C113" s="67">
        <v>0.35799999999999998</v>
      </c>
    </row>
    <row r="114" spans="2:3">
      <c r="B114" s="58" t="s">
        <v>554</v>
      </c>
      <c r="C114" s="67">
        <v>1.4</v>
      </c>
    </row>
    <row r="115" spans="2:3">
      <c r="B115" s="58" t="s">
        <v>555</v>
      </c>
      <c r="C115" s="67">
        <v>0.1419</v>
      </c>
    </row>
    <row r="116" spans="2:3">
      <c r="B116" s="58" t="s">
        <v>556</v>
      </c>
      <c r="C116" s="67">
        <v>1.6160000000000001</v>
      </c>
    </row>
    <row r="117" spans="2:3">
      <c r="B117" s="58" t="s">
        <v>557</v>
      </c>
      <c r="C117" s="67">
        <v>0.505</v>
      </c>
    </row>
    <row r="118" spans="2:3">
      <c r="B118" s="58" t="s">
        <v>558</v>
      </c>
      <c r="C118" s="67">
        <v>0.64500000000000002</v>
      </c>
    </row>
    <row r="119" spans="2:3">
      <c r="B119" s="58" t="s">
        <v>559</v>
      </c>
      <c r="C119" s="67">
        <v>0.47399999999999998</v>
      </c>
    </row>
    <row r="120" spans="2:3">
      <c r="B120" s="58" t="s">
        <v>560</v>
      </c>
      <c r="C120" s="67">
        <v>0.2</v>
      </c>
    </row>
    <row r="121" spans="2:3">
      <c r="B121" s="58" t="s">
        <v>561</v>
      </c>
      <c r="C121" s="67">
        <v>0.2072</v>
      </c>
    </row>
    <row r="122" spans="2:3">
      <c r="B122" s="58" t="s">
        <v>562</v>
      </c>
      <c r="C122" s="67">
        <v>6.4000000000000001E-2</v>
      </c>
    </row>
    <row r="123" spans="2:3">
      <c r="B123" s="58" t="s">
        <v>563</v>
      </c>
      <c r="C123" s="67">
        <v>1.9</v>
      </c>
    </row>
    <row r="124" spans="2:3">
      <c r="B124" s="58" t="s">
        <v>564</v>
      </c>
      <c r="C124" s="67">
        <v>2.0500000000000001E-2</v>
      </c>
    </row>
    <row r="125" spans="2:3">
      <c r="B125" s="58" t="s">
        <v>565</v>
      </c>
      <c r="C125" s="67">
        <v>7.6</v>
      </c>
    </row>
    <row r="126" spans="2:3">
      <c r="B126" s="58" t="s">
        <v>566</v>
      </c>
      <c r="C126" s="67">
        <v>0.56000000000000005</v>
      </c>
    </row>
    <row r="127" spans="2:3">
      <c r="B127" s="58" t="s">
        <v>567</v>
      </c>
      <c r="C127" s="67">
        <v>0.06</v>
      </c>
    </row>
    <row r="128" spans="2:3">
      <c r="B128" s="58" t="s">
        <v>568</v>
      </c>
      <c r="C128" s="67">
        <v>0.22500000000000001</v>
      </c>
    </row>
    <row r="129" spans="2:3">
      <c r="B129" s="58" t="s">
        <v>569</v>
      </c>
      <c r="C129" s="67">
        <v>6.12</v>
      </c>
    </row>
    <row r="130" spans="2:3">
      <c r="B130" s="58" t="s">
        <v>570</v>
      </c>
      <c r="C130" s="67">
        <v>7.4999999999999997E-2</v>
      </c>
    </row>
    <row r="131" spans="2:3">
      <c r="B131" s="58" t="s">
        <v>571</v>
      </c>
      <c r="C131" s="67">
        <v>0.56999999999999995</v>
      </c>
    </row>
    <row r="132" spans="2:3">
      <c r="B132" s="58" t="s">
        <v>572</v>
      </c>
      <c r="C132" s="67">
        <v>0.1</v>
      </c>
    </row>
    <row r="133" spans="2:3">
      <c r="B133" s="58" t="s">
        <v>573</v>
      </c>
      <c r="C133" s="67">
        <v>6</v>
      </c>
    </row>
    <row r="134" spans="2:3">
      <c r="B134" s="58" t="s">
        <v>574</v>
      </c>
      <c r="C134" s="67">
        <v>1.537075</v>
      </c>
    </row>
    <row r="135" spans="2:3">
      <c r="B135" s="58" t="s">
        <v>575</v>
      </c>
      <c r="C135" s="67">
        <v>0.04</v>
      </c>
    </row>
    <row r="136" spans="2:3">
      <c r="B136" s="58" t="s">
        <v>576</v>
      </c>
      <c r="C136" s="67">
        <v>0.16719999999999999</v>
      </c>
    </row>
    <row r="137" spans="2:3">
      <c r="B137" s="58" t="s">
        <v>577</v>
      </c>
      <c r="C137" s="67">
        <v>5.0000000000000001E-4</v>
      </c>
    </row>
    <row r="138" spans="2:3">
      <c r="B138" s="58" t="s">
        <v>578</v>
      </c>
      <c r="C138" s="67">
        <v>0.15</v>
      </c>
    </row>
    <row r="139" spans="2:3">
      <c r="B139" s="58" t="s">
        <v>579</v>
      </c>
      <c r="C139" s="67">
        <v>0.19600000000000001</v>
      </c>
    </row>
    <row r="140" spans="2:3">
      <c r="B140" s="58" t="s">
        <v>580</v>
      </c>
      <c r="C140" s="67">
        <v>7.0000000000000007E-2</v>
      </c>
    </row>
    <row r="141" spans="2:3">
      <c r="B141" s="58" t="s">
        <v>581</v>
      </c>
      <c r="C141" s="67">
        <v>1.105</v>
      </c>
    </row>
    <row r="142" spans="2:3">
      <c r="B142" s="58" t="s">
        <v>582</v>
      </c>
      <c r="C142" s="67">
        <v>8.4000000000000005E-2</v>
      </c>
    </row>
    <row r="143" spans="2:3">
      <c r="B143" s="58" t="s">
        <v>583</v>
      </c>
      <c r="C143" s="67">
        <v>4.1500000000000004</v>
      </c>
    </row>
    <row r="144" spans="2:3">
      <c r="B144" s="58" t="s">
        <v>584</v>
      </c>
      <c r="C144" s="67">
        <v>4.4999999999999998E-2</v>
      </c>
    </row>
    <row r="145" spans="2:3">
      <c r="B145" s="58" t="s">
        <v>585</v>
      </c>
      <c r="C145" s="67">
        <v>0.57599999999999996</v>
      </c>
    </row>
    <row r="146" spans="2:3">
      <c r="B146" s="58" t="s">
        <v>586</v>
      </c>
      <c r="C146" s="67">
        <v>6.8000000000000005E-2</v>
      </c>
    </row>
    <row r="147" spans="2:3">
      <c r="B147" s="58" t="s">
        <v>587</v>
      </c>
      <c r="C147" s="67">
        <v>4.2762000000000002</v>
      </c>
    </row>
    <row r="148" spans="2:3">
      <c r="B148" s="58" t="s">
        <v>588</v>
      </c>
      <c r="C148" s="67">
        <v>3.5</v>
      </c>
    </row>
    <row r="149" spans="2:3">
      <c r="B149" s="58" t="s">
        <v>589</v>
      </c>
      <c r="C149" s="67">
        <v>0.156</v>
      </c>
    </row>
    <row r="150" spans="2:3">
      <c r="B150" s="58" t="s">
        <v>590</v>
      </c>
      <c r="C150" s="67">
        <v>1.2</v>
      </c>
    </row>
    <row r="151" spans="2:3">
      <c r="B151" s="58" t="s">
        <v>591</v>
      </c>
      <c r="C151" s="67">
        <v>9.5689659999999996</v>
      </c>
    </row>
    <row r="152" spans="2:3">
      <c r="B152" s="58" t="s">
        <v>592</v>
      </c>
      <c r="C152" s="67">
        <v>0.05</v>
      </c>
    </row>
    <row r="153" spans="2:3">
      <c r="B153" s="58" t="s">
        <v>593</v>
      </c>
      <c r="C153" s="67">
        <v>0.312</v>
      </c>
    </row>
    <row r="154" spans="2:3">
      <c r="B154" s="58" t="s">
        <v>594</v>
      </c>
      <c r="C154" s="67">
        <v>0.125</v>
      </c>
    </row>
    <row r="155" spans="2:3">
      <c r="B155" s="58" t="s">
        <v>595</v>
      </c>
      <c r="C155" s="67">
        <v>0.59250000000000003</v>
      </c>
    </row>
    <row r="156" spans="2:3">
      <c r="B156" s="58" t="s">
        <v>596</v>
      </c>
      <c r="C156" s="67">
        <v>0.05</v>
      </c>
    </row>
    <row r="157" spans="2:3">
      <c r="B157" s="58" t="s">
        <v>597</v>
      </c>
      <c r="C157" s="67">
        <v>3.0000000000000001E-3</v>
      </c>
    </row>
    <row r="158" spans="2:3">
      <c r="B158" s="58" t="s">
        <v>598</v>
      </c>
      <c r="C158" s="67">
        <v>4.4999999999999998E-2</v>
      </c>
    </row>
    <row r="159" spans="2:3">
      <c r="B159" s="58" t="s">
        <v>599</v>
      </c>
      <c r="C159" s="67">
        <v>1.4</v>
      </c>
    </row>
    <row r="160" spans="2:3">
      <c r="B160" s="58" t="s">
        <v>600</v>
      </c>
      <c r="C160" s="67">
        <v>7.8E-2</v>
      </c>
    </row>
    <row r="161" spans="2:3">
      <c r="B161" s="58" t="s">
        <v>601</v>
      </c>
      <c r="C161" s="67">
        <v>5.34</v>
      </c>
    </row>
    <row r="162" spans="2:3">
      <c r="B162" s="58" t="s">
        <v>602</v>
      </c>
      <c r="C162" s="67">
        <v>8.9999999999999998E-4</v>
      </c>
    </row>
    <row r="163" spans="2:3">
      <c r="B163" s="58" t="s">
        <v>603</v>
      </c>
      <c r="C163" s="67">
        <v>0.06</v>
      </c>
    </row>
    <row r="164" spans="2:3">
      <c r="B164" s="58" t="s">
        <v>604</v>
      </c>
      <c r="C164" s="67">
        <v>0.375</v>
      </c>
    </row>
    <row r="165" spans="2:3">
      <c r="B165" s="58" t="s">
        <v>605</v>
      </c>
      <c r="C165" s="67">
        <v>0.38</v>
      </c>
    </row>
    <row r="166" spans="2:3">
      <c r="B166" s="58" t="s">
        <v>606</v>
      </c>
      <c r="C166" s="67">
        <v>7.0999999999999994E-2</v>
      </c>
    </row>
    <row r="167" spans="2:3">
      <c r="B167" s="58" t="s">
        <v>607</v>
      </c>
      <c r="C167" s="67">
        <v>0.21</v>
      </c>
    </row>
    <row r="168" spans="2:3">
      <c r="B168" s="58" t="s">
        <v>608</v>
      </c>
      <c r="C168" s="67">
        <v>0.255</v>
      </c>
    </row>
    <row r="169" spans="2:3">
      <c r="B169" s="58" t="s">
        <v>609</v>
      </c>
      <c r="C169" s="67">
        <v>7.3999999999999996E-2</v>
      </c>
    </row>
    <row r="170" spans="2:3">
      <c r="B170" s="58" t="s">
        <v>610</v>
      </c>
      <c r="C170" s="67">
        <v>0.42</v>
      </c>
    </row>
    <row r="171" spans="2:3">
      <c r="B171" s="58" t="s">
        <v>611</v>
      </c>
      <c r="C171" s="67">
        <v>0.18</v>
      </c>
    </row>
    <row r="172" spans="2:3">
      <c r="B172" s="58" t="s">
        <v>612</v>
      </c>
      <c r="C172" s="67">
        <v>0.48330000000000001</v>
      </c>
    </row>
    <row r="173" spans="2:3">
      <c r="B173" s="58" t="s">
        <v>613</v>
      </c>
      <c r="C173" s="67">
        <v>0.26750000000000002</v>
      </c>
    </row>
    <row r="174" spans="2:3">
      <c r="B174" s="58" t="s">
        <v>614</v>
      </c>
      <c r="C174" s="67">
        <v>5.0000000000000002E-5</v>
      </c>
    </row>
    <row r="175" spans="2:3">
      <c r="B175" s="58" t="s">
        <v>615</v>
      </c>
      <c r="C175" s="67">
        <v>0.76500000000000001</v>
      </c>
    </row>
    <row r="176" spans="2:3">
      <c r="B176" s="58" t="s">
        <v>616</v>
      </c>
      <c r="C176" s="67">
        <v>1.6919999999999999</v>
      </c>
    </row>
    <row r="177" spans="2:3">
      <c r="B177" s="58" t="s">
        <v>617</v>
      </c>
      <c r="C177" s="67">
        <v>0.214</v>
      </c>
    </row>
    <row r="178" spans="2:3">
      <c r="B178" s="58" t="s">
        <v>618</v>
      </c>
      <c r="C178" s="67">
        <v>0.1525</v>
      </c>
    </row>
    <row r="179" spans="2:3">
      <c r="B179" s="58" t="s">
        <v>619</v>
      </c>
      <c r="C179" s="67">
        <v>2.9711000000000001E-2</v>
      </c>
    </row>
    <row r="180" spans="2:3">
      <c r="B180" s="58" t="s">
        <v>620</v>
      </c>
      <c r="C180" s="67">
        <v>18.628</v>
      </c>
    </row>
    <row r="181" spans="2:3">
      <c r="B181" s="58" t="s">
        <v>621</v>
      </c>
      <c r="C181" s="67">
        <v>0.28989999999999999</v>
      </c>
    </row>
    <row r="182" spans="2:3">
      <c r="B182" s="58" t="s">
        <v>622</v>
      </c>
      <c r="C182" s="67">
        <v>0.24</v>
      </c>
    </row>
    <row r="183" spans="2:3">
      <c r="B183" s="58" t="s">
        <v>623</v>
      </c>
      <c r="C183" s="67">
        <v>2.1608000000000001</v>
      </c>
    </row>
    <row r="184" spans="2:3">
      <c r="B184" s="58" t="s">
        <v>624</v>
      </c>
      <c r="C184" s="67">
        <v>13.0718</v>
      </c>
    </row>
    <row r="185" spans="2:3">
      <c r="B185" s="58" t="s">
        <v>625</v>
      </c>
      <c r="C185" s="67">
        <v>0.26266499999999998</v>
      </c>
    </row>
    <row r="186" spans="2:3">
      <c r="B186" s="58" t="s">
        <v>626</v>
      </c>
      <c r="C186" s="67">
        <v>0.12472899999999999</v>
      </c>
    </row>
    <row r="187" spans="2:3">
      <c r="B187" s="58" t="s">
        <v>627</v>
      </c>
      <c r="C187" s="67">
        <v>5.0000000000000001E-3</v>
      </c>
    </row>
    <row r="188" spans="2:3">
      <c r="B188" s="58" t="s">
        <v>628</v>
      </c>
      <c r="C188" s="67">
        <v>1.67E-2</v>
      </c>
    </row>
    <row r="189" spans="2:3">
      <c r="B189" s="58" t="s">
        <v>629</v>
      </c>
      <c r="C189" s="67">
        <v>4.7947499999999996</v>
      </c>
    </row>
    <row r="190" spans="2:3">
      <c r="B190" s="58" t="s">
        <v>630</v>
      </c>
      <c r="C190" s="67">
        <v>0.12706600000000001</v>
      </c>
    </row>
    <row r="191" spans="2:3">
      <c r="B191" s="58" t="s">
        <v>631</v>
      </c>
      <c r="C191" s="67">
        <v>0.44022</v>
      </c>
    </row>
    <row r="192" spans="2:3">
      <c r="B192" s="58" t="s">
        <v>632</v>
      </c>
      <c r="C192" s="67">
        <v>5.8000000000000003E-2</v>
      </c>
    </row>
    <row r="193" spans="2:3">
      <c r="B193" s="58" t="s">
        <v>633</v>
      </c>
      <c r="C193" s="67">
        <v>1.6537439999999999</v>
      </c>
    </row>
    <row r="194" spans="2:3">
      <c r="B194" s="58" t="s">
        <v>634</v>
      </c>
      <c r="C194" s="67">
        <v>5.2200000000000003E-2</v>
      </c>
    </row>
    <row r="195" spans="2:3">
      <c r="B195" s="58" t="s">
        <v>635</v>
      </c>
      <c r="C195" s="67">
        <v>2.7761000000000001E-2</v>
      </c>
    </row>
    <row r="196" spans="2:3">
      <c r="B196" s="58" t="s">
        <v>636</v>
      </c>
      <c r="C196" s="67">
        <v>2.8554000000000003E-2</v>
      </c>
    </row>
    <row r="197" spans="2:3">
      <c r="B197" s="58" t="s">
        <v>637</v>
      </c>
      <c r="C197" s="67">
        <v>0.29599999999999999</v>
      </c>
    </row>
    <row r="198" spans="2:3">
      <c r="B198" s="58" t="s">
        <v>638</v>
      </c>
      <c r="C198" s="67">
        <v>6.2016</v>
      </c>
    </row>
    <row r="199" spans="2:3">
      <c r="B199" s="58" t="s">
        <v>639</v>
      </c>
      <c r="C199" s="67">
        <v>0.40931999999999996</v>
      </c>
    </row>
    <row r="200" spans="2:3">
      <c r="B200" s="58" t="s">
        <v>640</v>
      </c>
      <c r="C200" s="67">
        <v>1.4999999999999999E-2</v>
      </c>
    </row>
    <row r="201" spans="2:3">
      <c r="B201" s="58" t="s">
        <v>641</v>
      </c>
      <c r="C201" s="67">
        <v>0.74021999999999999</v>
      </c>
    </row>
    <row r="202" spans="2:3">
      <c r="B202" s="58" t="s">
        <v>642</v>
      </c>
      <c r="C202" s="67">
        <v>0.44400000000000001</v>
      </c>
    </row>
    <row r="203" spans="2:3">
      <c r="B203" s="58" t="s">
        <v>643</v>
      </c>
      <c r="C203" s="67">
        <v>0.33600000000000002</v>
      </c>
    </row>
    <row r="204" spans="2:3">
      <c r="B204" s="58" t="s">
        <v>644</v>
      </c>
      <c r="C204" s="67">
        <v>5.0000000000000001E-3</v>
      </c>
    </row>
    <row r="205" spans="2:3">
      <c r="B205" s="58" t="s">
        <v>645</v>
      </c>
      <c r="C205" s="67">
        <v>2.17</v>
      </c>
    </row>
    <row r="206" spans="2:3">
      <c r="B206" s="58" t="s">
        <v>646</v>
      </c>
      <c r="C206" s="67">
        <v>0.504</v>
      </c>
    </row>
    <row r="207" spans="2:3">
      <c r="B207" s="58" t="s">
        <v>647</v>
      </c>
      <c r="C207" s="67">
        <v>1E-4</v>
      </c>
    </row>
    <row r="208" spans="2:3">
      <c r="B208" s="58" t="s">
        <v>648</v>
      </c>
      <c r="C208" s="67">
        <v>0.14050000000000001</v>
      </c>
    </row>
    <row r="209" spans="2:3">
      <c r="B209" s="58" t="s">
        <v>649</v>
      </c>
      <c r="C209" s="67">
        <v>3.5000000000000003E-2</v>
      </c>
    </row>
    <row r="210" spans="2:3">
      <c r="B210" s="58" t="s">
        <v>650</v>
      </c>
      <c r="C210" s="67">
        <v>0.16800000000000001</v>
      </c>
    </row>
    <row r="211" spans="2:3">
      <c r="B211" s="58" t="s">
        <v>651</v>
      </c>
      <c r="C211" s="67">
        <v>0.01</v>
      </c>
    </row>
    <row r="212" spans="2:3">
      <c r="B212" s="58" t="s">
        <v>652</v>
      </c>
      <c r="C212" s="67">
        <v>5.6000000000000001E-2</v>
      </c>
    </row>
    <row r="213" spans="2:3">
      <c r="B213" s="58" t="s">
        <v>653</v>
      </c>
      <c r="C213" s="67">
        <v>0.80500000000000005</v>
      </c>
    </row>
    <row r="214" spans="2:3">
      <c r="B214" s="58" t="s">
        <v>654</v>
      </c>
      <c r="C214" s="67">
        <v>0.77</v>
      </c>
    </row>
    <row r="215" spans="2:3">
      <c r="B215" s="58" t="s">
        <v>655</v>
      </c>
      <c r="C215" s="67">
        <v>1.0500000000000001E-2</v>
      </c>
    </row>
    <row r="216" spans="2:3">
      <c r="B216" s="58" t="s">
        <v>656</v>
      </c>
      <c r="C216" s="67">
        <v>5.5E-2</v>
      </c>
    </row>
    <row r="217" spans="2:3">
      <c r="B217" s="58" t="s">
        <v>657</v>
      </c>
      <c r="C217" s="67">
        <v>0.22500000000000001</v>
      </c>
    </row>
    <row r="218" spans="2:3">
      <c r="B218" s="58" t="s">
        <v>477</v>
      </c>
      <c r="C218" s="67">
        <v>16.899999999999999</v>
      </c>
    </row>
    <row r="219" spans="2:3">
      <c r="B219" s="58" t="s">
        <v>658</v>
      </c>
      <c r="C219" s="67">
        <v>1.65</v>
      </c>
    </row>
    <row r="220" spans="2:3">
      <c r="B220" s="58" t="s">
        <v>659</v>
      </c>
      <c r="C220" s="67">
        <v>8.4000000000000005E-2</v>
      </c>
    </row>
    <row r="221" spans="2:3">
      <c r="B221" s="58" t="s">
        <v>660</v>
      </c>
      <c r="C221" s="67">
        <v>0.17399999999999999</v>
      </c>
    </row>
    <row r="222" spans="2:3">
      <c r="B222" s="58" t="s">
        <v>661</v>
      </c>
      <c r="C222" s="67">
        <v>0.09</v>
      </c>
    </row>
    <row r="223" spans="2:3">
      <c r="B223" s="58" t="s">
        <v>491</v>
      </c>
      <c r="C223" s="67">
        <v>0.56000000000000005</v>
      </c>
    </row>
    <row r="224" spans="2:3">
      <c r="B224" s="58" t="s">
        <v>662</v>
      </c>
      <c r="C224" s="67">
        <v>4.2000000000000003E-2</v>
      </c>
    </row>
    <row r="225" spans="2:3">
      <c r="B225" s="58" t="s">
        <v>495</v>
      </c>
      <c r="C225" s="67">
        <v>0.247</v>
      </c>
    </row>
    <row r="226" spans="2:3">
      <c r="B226" s="58" t="s">
        <v>663</v>
      </c>
      <c r="C226" s="67">
        <v>0.68</v>
      </c>
    </row>
    <row r="227" spans="2:3">
      <c r="B227" s="58" t="s">
        <v>664</v>
      </c>
      <c r="C227" s="67">
        <v>0.16</v>
      </c>
    </row>
    <row r="228" spans="2:3">
      <c r="B228" s="58" t="s">
        <v>665</v>
      </c>
      <c r="C228" s="67">
        <v>0.2</v>
      </c>
    </row>
    <row r="229" spans="2:3">
      <c r="B229" s="58" t="s">
        <v>666</v>
      </c>
      <c r="C229" s="67">
        <v>0.08</v>
      </c>
    </row>
    <row r="230" spans="2:3">
      <c r="B230" s="58" t="s">
        <v>667</v>
      </c>
      <c r="C230" s="67">
        <v>2.085</v>
      </c>
    </row>
    <row r="231" spans="2:3">
      <c r="B231" s="58" t="s">
        <v>668</v>
      </c>
      <c r="C231" s="67">
        <v>0.3</v>
      </c>
    </row>
    <row r="232" spans="2:3">
      <c r="B232" s="58" t="s">
        <v>669</v>
      </c>
      <c r="C232" s="67">
        <v>9.5000000000000001E-2</v>
      </c>
    </row>
    <row r="233" spans="2:3">
      <c r="B233" s="58" t="s">
        <v>670</v>
      </c>
      <c r="C233" s="67">
        <v>0.152</v>
      </c>
    </row>
    <row r="234" spans="2:3">
      <c r="B234" s="58" t="s">
        <v>671</v>
      </c>
      <c r="C234" s="67">
        <v>0.2</v>
      </c>
    </row>
    <row r="235" spans="2:3">
      <c r="B235" s="58" t="s">
        <v>672</v>
      </c>
      <c r="C235" s="67">
        <v>8.9999999999999993E-3</v>
      </c>
    </row>
    <row r="236" spans="2:3">
      <c r="B236" s="58" t="s">
        <v>673</v>
      </c>
      <c r="C236" s="67">
        <v>1.1399999999999999</v>
      </c>
    </row>
    <row r="237" spans="2:3">
      <c r="B237" s="58" t="s">
        <v>674</v>
      </c>
      <c r="C237" s="67">
        <v>0.22789999999999999</v>
      </c>
    </row>
    <row r="238" spans="2:3">
      <c r="B238" s="58" t="s">
        <v>675</v>
      </c>
      <c r="C238" s="67">
        <v>0.01</v>
      </c>
    </row>
    <row r="239" spans="2:3">
      <c r="B239" s="58" t="s">
        <v>676</v>
      </c>
      <c r="C239" s="67">
        <v>0.8</v>
      </c>
    </row>
    <row r="240" spans="2:3">
      <c r="B240" s="58" t="s">
        <v>677</v>
      </c>
      <c r="C240" s="67">
        <v>8.859199999999999E-2</v>
      </c>
    </row>
    <row r="241" spans="2:3">
      <c r="B241" s="58" t="s">
        <v>678</v>
      </c>
      <c r="C241" s="67">
        <v>0.09</v>
      </c>
    </row>
    <row r="242" spans="2:3">
      <c r="B242" s="58" t="s">
        <v>679</v>
      </c>
      <c r="C242" s="67">
        <v>0.70399999999999996</v>
      </c>
    </row>
    <row r="243" spans="2:3">
      <c r="B243" s="58" t="s">
        <v>551</v>
      </c>
      <c r="C243" s="67">
        <v>8.9999999999999993E-3</v>
      </c>
    </row>
    <row r="244" spans="2:3">
      <c r="B244" s="58" t="s">
        <v>680</v>
      </c>
      <c r="C244" s="67">
        <v>0.08</v>
      </c>
    </row>
    <row r="245" spans="2:3">
      <c r="B245" s="58" t="s">
        <v>681</v>
      </c>
      <c r="C245" s="67">
        <v>5.5E-2</v>
      </c>
    </row>
    <row r="246" spans="2:3">
      <c r="B246" s="58" t="s">
        <v>682</v>
      </c>
      <c r="C246" s="67">
        <v>1.226</v>
      </c>
    </row>
    <row r="247" spans="2:3">
      <c r="B247" s="58" t="s">
        <v>683</v>
      </c>
      <c r="C247" s="67">
        <v>1.89</v>
      </c>
    </row>
    <row r="248" spans="2:3">
      <c r="B248" s="58" t="s">
        <v>684</v>
      </c>
      <c r="C248" s="67">
        <v>0.9</v>
      </c>
    </row>
    <row r="249" spans="2:3">
      <c r="B249" s="58" t="s">
        <v>587</v>
      </c>
      <c r="C249" s="67">
        <v>1.0129999999999999</v>
      </c>
    </row>
    <row r="250" spans="2:3">
      <c r="B250" s="58" t="s">
        <v>685</v>
      </c>
      <c r="C250" s="67">
        <v>4.7E-2</v>
      </c>
    </row>
    <row r="251" spans="2:3">
      <c r="B251" s="58" t="s">
        <v>686</v>
      </c>
      <c r="C251" s="67">
        <v>0.16</v>
      </c>
    </row>
    <row r="252" spans="2:3">
      <c r="B252" s="58" t="s">
        <v>687</v>
      </c>
      <c r="C252" s="67">
        <v>0.12</v>
      </c>
    </row>
    <row r="253" spans="2:3">
      <c r="B253" s="58" t="s">
        <v>688</v>
      </c>
      <c r="C253" s="67">
        <v>8.5000000000000006E-2</v>
      </c>
    </row>
    <row r="254" spans="2:3">
      <c r="B254" s="58" t="s">
        <v>689</v>
      </c>
      <c r="C254" s="67">
        <v>0.28000000000000003</v>
      </c>
    </row>
    <row r="255" spans="2:3">
      <c r="B255" s="58" t="s">
        <v>690</v>
      </c>
      <c r="C255" s="67">
        <v>0.5</v>
      </c>
    </row>
    <row r="256" spans="2:3">
      <c r="B256" s="58" t="s">
        <v>691</v>
      </c>
      <c r="C256" s="67">
        <v>0.30399999999999999</v>
      </c>
    </row>
    <row r="257" spans="2:3">
      <c r="B257" s="58" t="s">
        <v>692</v>
      </c>
      <c r="C257" s="67">
        <v>7.4999999999999997E-2</v>
      </c>
    </row>
    <row r="258" spans="2:3">
      <c r="B258" s="58" t="s">
        <v>693</v>
      </c>
      <c r="C258" s="67">
        <v>0.09</v>
      </c>
    </row>
    <row r="259" spans="2:3">
      <c r="B259" s="58" t="s">
        <v>694</v>
      </c>
      <c r="C259" s="67">
        <v>0.28399999999999997</v>
      </c>
    </row>
    <row r="260" spans="2:3">
      <c r="B260" s="58" t="s">
        <v>695</v>
      </c>
      <c r="C260" s="67">
        <v>1.397</v>
      </c>
    </row>
    <row r="261" spans="2:3">
      <c r="B261" s="58" t="s">
        <v>696</v>
      </c>
      <c r="C261" s="67">
        <v>0.56799999999999995</v>
      </c>
    </row>
    <row r="262" spans="2:3">
      <c r="B262" s="58" t="s">
        <v>697</v>
      </c>
      <c r="C262" s="67">
        <v>0.06</v>
      </c>
    </row>
    <row r="263" spans="2:3">
      <c r="B263" s="58" t="s">
        <v>698</v>
      </c>
      <c r="C263" s="67">
        <v>4.7750000000000001E-2</v>
      </c>
    </row>
    <row r="264" spans="2:3">
      <c r="B264" s="58" t="s">
        <v>699</v>
      </c>
      <c r="C264" s="67">
        <v>0.72</v>
      </c>
    </row>
    <row r="265" spans="2:3">
      <c r="B265" s="58" t="s">
        <v>700</v>
      </c>
      <c r="C265" s="67">
        <v>0.09</v>
      </c>
    </row>
    <row r="266" spans="2:3">
      <c r="B266" s="58" t="s">
        <v>701</v>
      </c>
      <c r="C266" s="67">
        <v>4.3999999999999997E-2</v>
      </c>
    </row>
    <row r="267" spans="2:3">
      <c r="B267" s="58" t="s">
        <v>702</v>
      </c>
      <c r="C267" s="67">
        <v>2.7755000000000001</v>
      </c>
    </row>
    <row r="268" spans="2:3">
      <c r="B268" s="58" t="s">
        <v>703</v>
      </c>
      <c r="C268" s="67">
        <v>0.129</v>
      </c>
    </row>
    <row r="269" spans="2:3">
      <c r="B269" s="58" t="s">
        <v>704</v>
      </c>
      <c r="C269" s="67">
        <v>26.683150000000001</v>
      </c>
    </row>
    <row r="270" spans="2:3">
      <c r="B270" s="58" t="s">
        <v>705</v>
      </c>
      <c r="C270" s="67">
        <v>3.5999999999999997E-2</v>
      </c>
    </row>
    <row r="271" spans="2:3">
      <c r="B271" s="58" t="s">
        <v>706</v>
      </c>
      <c r="C271" s="67">
        <v>6.5100000000000005E-2</v>
      </c>
    </row>
    <row r="272" spans="2:3">
      <c r="B272" s="58" t="s">
        <v>707</v>
      </c>
      <c r="C272" s="67">
        <v>0.14199999999999999</v>
      </c>
    </row>
    <row r="273" spans="2:4">
      <c r="B273" s="58" t="s">
        <v>708</v>
      </c>
      <c r="C273" s="67">
        <v>4.0000000000000001E-3</v>
      </c>
    </row>
    <row r="274" spans="2:4">
      <c r="B274" s="58" t="s">
        <v>709</v>
      </c>
      <c r="C274" s="67">
        <v>0.9</v>
      </c>
    </row>
    <row r="275" spans="2:4">
      <c r="B275" s="58" t="s">
        <v>710</v>
      </c>
      <c r="C275" s="67">
        <v>9.4999999999999992E-5</v>
      </c>
    </row>
    <row r="276" spans="2:4">
      <c r="B276" s="58" t="s">
        <v>711</v>
      </c>
      <c r="C276" s="67">
        <v>2.0079999999999998E-3</v>
      </c>
    </row>
    <row r="277" spans="2:4">
      <c r="B277" s="58" t="s">
        <v>712</v>
      </c>
      <c r="C277" s="67">
        <v>6.3700000000000007E-3</v>
      </c>
    </row>
    <row r="278" spans="2:4">
      <c r="B278" s="58" t="s">
        <v>713</v>
      </c>
      <c r="C278" s="67">
        <v>6.0000000000000001E-3</v>
      </c>
    </row>
    <row r="279" spans="2:4">
      <c r="B279" s="10" t="s">
        <v>46</v>
      </c>
      <c r="C279" s="10">
        <f>SUM(C3:C278)</f>
        <v>356.24055099999981</v>
      </c>
    </row>
    <row r="282" spans="2:4">
      <c r="B282" s="13" t="s">
        <v>319</v>
      </c>
    </row>
    <row r="283" spans="2:4">
      <c r="B283" s="58" t="s">
        <v>297</v>
      </c>
      <c r="C283" s="58" t="s">
        <v>44</v>
      </c>
    </row>
    <row r="284" spans="2:4">
      <c r="B284" s="4" t="s">
        <v>714</v>
      </c>
      <c r="C284" s="24">
        <v>356.2405510000001</v>
      </c>
      <c r="D284" s="43"/>
    </row>
    <row r="285" spans="2:4">
      <c r="B285" s="4"/>
      <c r="C285" s="24"/>
    </row>
    <row r="286" spans="2:4">
      <c r="B286" s="4"/>
      <c r="C286" s="24"/>
    </row>
    <row r="287" spans="2:4">
      <c r="B287" s="4"/>
      <c r="C287" s="24"/>
    </row>
    <row r="288" spans="2:4">
      <c r="B288" s="4"/>
      <c r="C288" s="4"/>
    </row>
    <row r="289" spans="2:3">
      <c r="B289" s="4"/>
      <c r="C289" s="4"/>
    </row>
    <row r="290" spans="2:3">
      <c r="B290" s="4" t="s">
        <v>28</v>
      </c>
      <c r="C290" s="24">
        <f>SUM(C284:C289)</f>
        <v>356.2405510000001</v>
      </c>
    </row>
  </sheetData>
  <phoneticPr fontId="6" type="noConversion"/>
  <pageMargins left="0.69930555555555596" right="0.69930555555555596"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F112"/>
  <sheetViews>
    <sheetView zoomScale="90" zoomScaleNormal="90" workbookViewId="0">
      <selection activeCell="C112" sqref="C112"/>
    </sheetView>
  </sheetViews>
  <sheetFormatPr defaultColWidth="9" defaultRowHeight="14.4"/>
  <cols>
    <col min="1" max="1" width="2.3984375" style="8" customWidth="1"/>
    <col min="2" max="2" width="33" style="8" customWidth="1"/>
    <col min="3" max="3" width="18" style="8" customWidth="1"/>
    <col min="4" max="4" width="10.59765625" style="8" customWidth="1"/>
    <col min="5" max="5" width="24.8984375" style="8" bestFit="1" customWidth="1"/>
    <col min="6" max="16384" width="9" style="8"/>
  </cols>
  <sheetData>
    <row r="1" spans="2:6" ht="15.6">
      <c r="B1" s="13" t="s">
        <v>82</v>
      </c>
      <c r="E1" s="39">
        <f>应收账款明细!$K$1</f>
        <v>44012</v>
      </c>
      <c r="F1"/>
    </row>
    <row r="2" spans="2:6" ht="15.6">
      <c r="B2" s="58" t="s">
        <v>3</v>
      </c>
      <c r="C2" s="58" t="s">
        <v>44</v>
      </c>
      <c r="D2" s="58" t="s">
        <v>27</v>
      </c>
      <c r="E2" s="58" t="s">
        <v>57</v>
      </c>
      <c r="F2"/>
    </row>
    <row r="3" spans="2:6" ht="15.6">
      <c r="B3" s="4" t="s">
        <v>745</v>
      </c>
      <c r="C3" s="24">
        <v>0.06</v>
      </c>
      <c r="D3" s="11"/>
      <c r="E3" s="11"/>
      <c r="F3"/>
    </row>
    <row r="4" spans="2:6" ht="15.6">
      <c r="B4" s="4" t="s">
        <v>736</v>
      </c>
      <c r="C4" s="24">
        <v>0.12</v>
      </c>
      <c r="D4" s="11"/>
      <c r="E4" s="11"/>
      <c r="F4"/>
    </row>
    <row r="5" spans="2:6" ht="15.6">
      <c r="B5" s="4" t="s">
        <v>478</v>
      </c>
      <c r="C5" s="24">
        <v>0.20177600000000001</v>
      </c>
      <c r="D5" s="11"/>
      <c r="E5" s="11"/>
      <c r="F5"/>
    </row>
    <row r="6" spans="2:6" ht="15.6">
      <c r="B6" s="4" t="s">
        <v>721</v>
      </c>
      <c r="C6" s="24">
        <v>0.5</v>
      </c>
      <c r="D6" s="11"/>
      <c r="E6" s="11"/>
      <c r="F6"/>
    </row>
    <row r="7" spans="2:6" ht="15.6">
      <c r="B7" s="4" t="s">
        <v>720</v>
      </c>
      <c r="C7" s="24">
        <v>0.5</v>
      </c>
      <c r="D7" s="11"/>
      <c r="E7" s="11"/>
      <c r="F7"/>
    </row>
    <row r="8" spans="2:6" ht="15.6">
      <c r="B8" s="4" t="s">
        <v>769</v>
      </c>
      <c r="C8" s="24">
        <v>3.09</v>
      </c>
      <c r="D8" s="11"/>
      <c r="E8" s="11"/>
      <c r="F8"/>
    </row>
    <row r="9" spans="2:6" ht="15.6">
      <c r="B9" s="4" t="s">
        <v>732</v>
      </c>
      <c r="C9" s="24">
        <v>0.2</v>
      </c>
      <c r="D9" s="11"/>
      <c r="E9" s="11"/>
      <c r="F9"/>
    </row>
    <row r="10" spans="2:6" ht="15.6">
      <c r="B10" s="4" t="s">
        <v>746</v>
      </c>
      <c r="C10" s="24">
        <v>0.06</v>
      </c>
      <c r="D10" s="11"/>
      <c r="E10" s="11"/>
      <c r="F10"/>
    </row>
    <row r="11" spans="2:6" ht="15.6">
      <c r="B11" s="4" t="s">
        <v>719</v>
      </c>
      <c r="C11" s="24">
        <v>0.04</v>
      </c>
      <c r="D11" s="11"/>
      <c r="E11" s="11"/>
      <c r="F11"/>
    </row>
    <row r="12" spans="2:6" ht="15.6">
      <c r="B12" s="4" t="s">
        <v>798</v>
      </c>
      <c r="C12" s="24">
        <v>2.1409799999999999</v>
      </c>
      <c r="D12" s="11"/>
      <c r="E12" s="11"/>
      <c r="F12"/>
    </row>
    <row r="13" spans="2:6" ht="15.6">
      <c r="B13" s="4" t="s">
        <v>738</v>
      </c>
      <c r="C13" s="24">
        <v>0.1</v>
      </c>
      <c r="D13" s="11"/>
      <c r="E13" s="11"/>
      <c r="F13"/>
    </row>
    <row r="14" spans="2:6" ht="15.6">
      <c r="B14" s="4" t="s">
        <v>716</v>
      </c>
      <c r="C14" s="24">
        <v>27.642059999999997</v>
      </c>
      <c r="D14" s="11"/>
      <c r="E14" s="11"/>
      <c r="F14"/>
    </row>
    <row r="15" spans="2:6" ht="15.6">
      <c r="B15" s="4" t="s">
        <v>806</v>
      </c>
      <c r="C15" s="24">
        <v>0.28999999999999998</v>
      </c>
      <c r="D15" s="11"/>
      <c r="E15" s="11"/>
      <c r="F15"/>
    </row>
    <row r="16" spans="2:6" ht="15.6">
      <c r="B16" s="4" t="s">
        <v>739</v>
      </c>
      <c r="C16" s="24">
        <v>0.1</v>
      </c>
      <c r="D16" s="11"/>
      <c r="E16" s="11"/>
      <c r="F16"/>
    </row>
    <row r="17" spans="2:6" ht="15.6">
      <c r="B17" s="4" t="s">
        <v>779</v>
      </c>
      <c r="C17" s="24">
        <v>7.0766999999999998</v>
      </c>
      <c r="D17" s="11"/>
      <c r="E17" s="11"/>
      <c r="F17"/>
    </row>
    <row r="18" spans="2:6">
      <c r="B18" s="4" t="s">
        <v>740</v>
      </c>
      <c r="C18" s="24">
        <v>0.1</v>
      </c>
      <c r="D18" s="11"/>
      <c r="E18" s="11"/>
    </row>
    <row r="19" spans="2:6">
      <c r="B19" s="4" t="s">
        <v>809</v>
      </c>
      <c r="C19" s="24">
        <v>0.105</v>
      </c>
      <c r="D19" s="11"/>
      <c r="E19" s="11"/>
    </row>
    <row r="20" spans="2:6">
      <c r="B20" s="4" t="s">
        <v>800</v>
      </c>
      <c r="C20" s="24">
        <v>1.35</v>
      </c>
      <c r="D20" s="11"/>
      <c r="E20" s="11"/>
    </row>
    <row r="21" spans="2:6">
      <c r="B21" s="4" t="s">
        <v>808</v>
      </c>
      <c r="C21" s="24">
        <v>0.10680999999999999</v>
      </c>
      <c r="D21" s="11"/>
      <c r="E21" s="11"/>
    </row>
    <row r="22" spans="2:6">
      <c r="B22" s="4" t="s">
        <v>793</v>
      </c>
      <c r="C22" s="24">
        <v>2.8704999999999998</v>
      </c>
      <c r="D22" s="11"/>
      <c r="E22" s="11"/>
    </row>
    <row r="23" spans="2:6">
      <c r="B23" s="4" t="s">
        <v>725</v>
      </c>
      <c r="C23" s="24">
        <v>3.5</v>
      </c>
      <c r="D23" s="11"/>
      <c r="E23" s="11"/>
    </row>
    <row r="24" spans="2:6">
      <c r="B24" s="4" t="s">
        <v>783</v>
      </c>
      <c r="C24" s="24">
        <v>10</v>
      </c>
      <c r="D24" s="11"/>
      <c r="E24" s="11"/>
    </row>
    <row r="25" spans="2:6">
      <c r="B25" s="4" t="s">
        <v>789</v>
      </c>
      <c r="C25" s="24">
        <v>15.252697</v>
      </c>
      <c r="D25" s="11"/>
      <c r="E25" s="11"/>
    </row>
    <row r="26" spans="2:6">
      <c r="B26" s="4" t="s">
        <v>777</v>
      </c>
      <c r="C26" s="24">
        <v>2.7000000000000001E-3</v>
      </c>
      <c r="D26" s="11"/>
      <c r="E26" s="11"/>
    </row>
    <row r="27" spans="2:6">
      <c r="B27" s="4" t="s">
        <v>811</v>
      </c>
      <c r="C27" s="24">
        <v>6.2491999999999999E-2</v>
      </c>
      <c r="D27" s="11"/>
      <c r="E27" s="11"/>
    </row>
    <row r="28" spans="2:6">
      <c r="B28" s="4" t="s">
        <v>799</v>
      </c>
      <c r="C28" s="24">
        <v>1.7905</v>
      </c>
      <c r="D28" s="11"/>
      <c r="E28" s="11"/>
    </row>
    <row r="29" spans="2:6">
      <c r="B29" s="4" t="s">
        <v>516</v>
      </c>
      <c r="C29" s="24">
        <v>0.1</v>
      </c>
      <c r="D29" s="11"/>
      <c r="E29" s="11"/>
    </row>
    <row r="30" spans="2:6">
      <c r="B30" s="4" t="s">
        <v>805</v>
      </c>
      <c r="C30" s="24">
        <v>0.36</v>
      </c>
      <c r="D30" s="11"/>
      <c r="E30" s="11"/>
    </row>
    <row r="31" spans="2:6">
      <c r="B31" s="4" t="s">
        <v>778</v>
      </c>
      <c r="C31" s="24">
        <v>3.6027730000000004</v>
      </c>
      <c r="D31" s="11"/>
      <c r="E31" s="11"/>
    </row>
    <row r="32" spans="2:6">
      <c r="B32" s="4" t="s">
        <v>794</v>
      </c>
      <c r="C32" s="24">
        <v>2.8704999999999998</v>
      </c>
      <c r="D32" s="11"/>
      <c r="E32" s="11"/>
    </row>
    <row r="33" spans="2:5">
      <c r="B33" s="4" t="s">
        <v>758</v>
      </c>
      <c r="C33" s="24">
        <v>0.65190000000000003</v>
      </c>
      <c r="D33" s="11"/>
      <c r="E33" s="11"/>
    </row>
    <row r="34" spans="2:5">
      <c r="B34" s="4" t="s">
        <v>731</v>
      </c>
      <c r="C34" s="24">
        <v>0.5</v>
      </c>
      <c r="D34" s="11"/>
      <c r="E34" s="11"/>
    </row>
    <row r="35" spans="2:5">
      <c r="B35" s="4" t="s">
        <v>723</v>
      </c>
      <c r="C35" s="24">
        <v>5.6000000000000001E-2</v>
      </c>
      <c r="D35" s="11"/>
      <c r="E35" s="11"/>
    </row>
    <row r="36" spans="2:5">
      <c r="B36" s="4" t="s">
        <v>751</v>
      </c>
      <c r="C36" s="24">
        <v>10.621858</v>
      </c>
      <c r="D36" s="11"/>
      <c r="E36" s="11"/>
    </row>
    <row r="37" spans="2:5">
      <c r="B37" s="4" t="s">
        <v>752</v>
      </c>
      <c r="C37" s="24">
        <v>1.830902</v>
      </c>
      <c r="D37" s="11"/>
      <c r="E37" s="11"/>
    </row>
    <row r="38" spans="2:5">
      <c r="B38" s="4" t="s">
        <v>761</v>
      </c>
      <c r="C38" s="24">
        <v>0.30599999999999999</v>
      </c>
      <c r="D38" s="11"/>
      <c r="E38" s="11"/>
    </row>
    <row r="39" spans="2:5">
      <c r="B39" s="4" t="s">
        <v>781</v>
      </c>
      <c r="C39" s="24">
        <v>0.158</v>
      </c>
      <c r="D39" s="11"/>
      <c r="E39" s="11"/>
    </row>
    <row r="40" spans="2:5">
      <c r="B40" s="4" t="s">
        <v>413</v>
      </c>
      <c r="C40" s="24">
        <v>5.8212000000000002</v>
      </c>
      <c r="D40" s="12"/>
      <c r="E40" s="11"/>
    </row>
    <row r="41" spans="2:5">
      <c r="B41" s="4" t="s">
        <v>428</v>
      </c>
      <c r="C41" s="24">
        <v>2371</v>
      </c>
      <c r="D41" s="4"/>
      <c r="E41" s="4"/>
    </row>
    <row r="42" spans="2:5">
      <c r="B42" s="4" t="s">
        <v>717</v>
      </c>
      <c r="C42" s="24">
        <v>0.12</v>
      </c>
      <c r="D42" s="4"/>
      <c r="E42" s="4"/>
    </row>
    <row r="43" spans="2:5">
      <c r="B43" s="4" t="s">
        <v>754</v>
      </c>
      <c r="C43" s="24">
        <v>6.8860000000000005E-2</v>
      </c>
      <c r="D43" s="4"/>
      <c r="E43" s="4"/>
    </row>
    <row r="44" spans="2:5">
      <c r="B44" s="4" t="s">
        <v>750</v>
      </c>
      <c r="C44" s="24">
        <v>2.5999999999999999E-2</v>
      </c>
      <c r="D44" s="4"/>
      <c r="E44" s="4"/>
    </row>
    <row r="45" spans="2:5">
      <c r="B45" s="4" t="s">
        <v>802</v>
      </c>
      <c r="C45" s="24">
        <v>0.55000000000000004</v>
      </c>
      <c r="D45" s="4"/>
      <c r="E45" s="4"/>
    </row>
    <row r="46" spans="2:5">
      <c r="B46" s="4" t="s">
        <v>733</v>
      </c>
      <c r="C46" s="24">
        <v>0.2</v>
      </c>
      <c r="D46" s="4"/>
      <c r="E46" s="4"/>
    </row>
    <row r="47" spans="2:5">
      <c r="B47" s="4" t="s">
        <v>748</v>
      </c>
      <c r="C47" s="24">
        <v>5.8000000000000003E-2</v>
      </c>
      <c r="D47" s="4"/>
      <c r="E47" s="4"/>
    </row>
    <row r="48" spans="2:5">
      <c r="B48" s="4" t="s">
        <v>764</v>
      </c>
      <c r="C48" s="24">
        <v>1.26E-2</v>
      </c>
      <c r="D48" s="4"/>
      <c r="E48" s="4"/>
    </row>
    <row r="49" spans="2:5">
      <c r="B49" s="4" t="s">
        <v>795</v>
      </c>
      <c r="C49" s="24">
        <v>2.8704999999999998</v>
      </c>
      <c r="D49" s="4"/>
      <c r="E49" s="4"/>
    </row>
    <row r="50" spans="2:5">
      <c r="B50" s="4" t="s">
        <v>773</v>
      </c>
      <c r="C50" s="24">
        <v>0.03</v>
      </c>
      <c r="D50" s="4"/>
      <c r="E50" s="4"/>
    </row>
    <row r="51" spans="2:5">
      <c r="B51" s="4" t="s">
        <v>772</v>
      </c>
      <c r="C51" s="24">
        <v>9.8799999999999999E-2</v>
      </c>
      <c r="D51" s="4"/>
      <c r="E51" s="4"/>
    </row>
    <row r="52" spans="2:5">
      <c r="B52" s="4" t="s">
        <v>718</v>
      </c>
      <c r="C52" s="24">
        <v>8</v>
      </c>
      <c r="D52" s="4"/>
      <c r="E52" s="4"/>
    </row>
    <row r="53" spans="2:5">
      <c r="B53" s="4" t="s">
        <v>766</v>
      </c>
      <c r="C53" s="24">
        <v>7.2000000000000002E-5</v>
      </c>
      <c r="D53" s="4"/>
      <c r="E53" s="4"/>
    </row>
    <row r="54" spans="2:5">
      <c r="B54" s="4" t="s">
        <v>753</v>
      </c>
      <c r="C54" s="24">
        <v>0.83236100000000002</v>
      </c>
      <c r="D54" s="4"/>
      <c r="E54" s="4"/>
    </row>
    <row r="55" spans="2:5">
      <c r="B55" s="4" t="s">
        <v>812</v>
      </c>
      <c r="C55" s="24">
        <v>3.2402999999999994E-2</v>
      </c>
      <c r="D55" s="4"/>
      <c r="E55" s="4"/>
    </row>
    <row r="56" spans="2:5">
      <c r="B56" s="4" t="s">
        <v>797</v>
      </c>
      <c r="C56" s="24">
        <v>2.7</v>
      </c>
      <c r="D56" s="4"/>
      <c r="E56" s="4"/>
    </row>
    <row r="57" spans="2:5">
      <c r="B57" s="4" t="s">
        <v>796</v>
      </c>
      <c r="C57" s="24">
        <v>2.8704999999999998</v>
      </c>
      <c r="D57" s="4"/>
      <c r="E57" s="4"/>
    </row>
    <row r="58" spans="2:5">
      <c r="B58" s="4" t="s">
        <v>780</v>
      </c>
      <c r="C58" s="24">
        <v>5.74</v>
      </c>
      <c r="D58" s="4"/>
      <c r="E58" s="4"/>
    </row>
    <row r="59" spans="2:5">
      <c r="B59" s="4" t="s">
        <v>747</v>
      </c>
      <c r="C59" s="24">
        <v>0.06</v>
      </c>
      <c r="D59" s="4"/>
      <c r="E59" s="4"/>
    </row>
    <row r="60" spans="2:5">
      <c r="B60" s="4" t="s">
        <v>790</v>
      </c>
      <c r="C60" s="24">
        <v>3.33</v>
      </c>
      <c r="D60" s="4"/>
      <c r="E60" s="4"/>
    </row>
    <row r="61" spans="2:5">
      <c r="B61" s="4" t="s">
        <v>804</v>
      </c>
      <c r="C61" s="24">
        <v>0.4</v>
      </c>
      <c r="D61" s="4"/>
      <c r="E61" s="4"/>
    </row>
    <row r="62" spans="2:5">
      <c r="B62" s="4" t="s">
        <v>729</v>
      </c>
      <c r="C62" s="24">
        <v>0.6</v>
      </c>
      <c r="D62" s="4"/>
      <c r="E62" s="4"/>
    </row>
    <row r="63" spans="2:5">
      <c r="B63" s="4" t="s">
        <v>730</v>
      </c>
      <c r="C63" s="24">
        <v>0.6</v>
      </c>
      <c r="D63" s="4"/>
      <c r="E63" s="4"/>
    </row>
    <row r="64" spans="2:5">
      <c r="B64" s="4" t="s">
        <v>573</v>
      </c>
      <c r="C64" s="24">
        <v>2</v>
      </c>
      <c r="D64" s="4"/>
      <c r="E64" s="4"/>
    </row>
    <row r="65" spans="2:5">
      <c r="B65" s="4" t="s">
        <v>803</v>
      </c>
      <c r="C65" s="24">
        <v>0.55000000000000004</v>
      </c>
      <c r="D65" s="4"/>
      <c r="E65" s="4"/>
    </row>
    <row r="66" spans="2:5">
      <c r="B66" s="4" t="s">
        <v>787</v>
      </c>
      <c r="C66" s="24">
        <v>29.1737</v>
      </c>
      <c r="D66" s="4"/>
      <c r="E66" s="4"/>
    </row>
    <row r="67" spans="2:5">
      <c r="B67" s="4" t="s">
        <v>741</v>
      </c>
      <c r="C67" s="24">
        <v>0.1</v>
      </c>
      <c r="D67" s="4"/>
      <c r="E67" s="4"/>
    </row>
    <row r="68" spans="2:5">
      <c r="B68" s="4" t="s">
        <v>737</v>
      </c>
      <c r="C68" s="24">
        <v>0.12</v>
      </c>
      <c r="D68" s="4"/>
      <c r="E68" s="4"/>
    </row>
    <row r="69" spans="2:5">
      <c r="B69" s="4" t="s">
        <v>755</v>
      </c>
      <c r="C69" s="24">
        <v>2.76</v>
      </c>
      <c r="D69" s="4"/>
      <c r="E69" s="4"/>
    </row>
    <row r="70" spans="2:5">
      <c r="B70" s="4" t="s">
        <v>763</v>
      </c>
      <c r="C70" s="24">
        <v>0.11877</v>
      </c>
      <c r="D70" s="4"/>
      <c r="E70" s="4"/>
    </row>
    <row r="71" spans="2:5">
      <c r="B71" s="4" t="s">
        <v>409</v>
      </c>
      <c r="C71" s="24">
        <v>1.4444999999999999</v>
      </c>
      <c r="D71" s="4"/>
      <c r="E71" s="4"/>
    </row>
    <row r="72" spans="2:5">
      <c r="B72" s="4" t="s">
        <v>760</v>
      </c>
      <c r="C72" s="24">
        <v>0.309</v>
      </c>
      <c r="D72" s="4"/>
      <c r="E72" s="4"/>
    </row>
    <row r="73" spans="2:5">
      <c r="B73" s="4" t="s">
        <v>762</v>
      </c>
      <c r="C73" s="24">
        <v>0.1988</v>
      </c>
      <c r="D73" s="4"/>
      <c r="E73" s="4"/>
    </row>
    <row r="74" spans="2:5">
      <c r="B74" s="4" t="s">
        <v>759</v>
      </c>
      <c r="C74" s="24">
        <v>0.62808900000000001</v>
      </c>
      <c r="D74" s="4"/>
      <c r="E74" s="4"/>
    </row>
    <row r="75" spans="2:5">
      <c r="B75" s="4" t="s">
        <v>756</v>
      </c>
      <c r="C75" s="24">
        <v>2.0449999999999999</v>
      </c>
      <c r="D75" s="4"/>
      <c r="E75" s="4"/>
    </row>
    <row r="76" spans="2:5">
      <c r="B76" s="4" t="s">
        <v>727</v>
      </c>
      <c r="C76" s="24">
        <v>0.7</v>
      </c>
      <c r="D76" s="4"/>
      <c r="E76" s="4"/>
    </row>
    <row r="77" spans="2:5">
      <c r="B77" s="4" t="s">
        <v>784</v>
      </c>
      <c r="C77" s="24">
        <v>101.364661</v>
      </c>
      <c r="D77" s="4"/>
      <c r="E77" s="4"/>
    </row>
    <row r="78" spans="2:5">
      <c r="B78" s="4" t="s">
        <v>788</v>
      </c>
      <c r="C78" s="24">
        <v>17.861201999999999</v>
      </c>
      <c r="D78" s="4"/>
      <c r="E78" s="4"/>
    </row>
    <row r="79" spans="2:5">
      <c r="B79" s="4" t="s">
        <v>770</v>
      </c>
      <c r="C79" s="24">
        <v>16.438536000000003</v>
      </c>
      <c r="D79" s="4"/>
      <c r="E79" s="4"/>
    </row>
    <row r="80" spans="2:5">
      <c r="B80" s="4" t="s">
        <v>744</v>
      </c>
      <c r="C80" s="24">
        <v>7.0000000000000007E-2</v>
      </c>
      <c r="D80" s="4"/>
      <c r="E80" s="4"/>
    </row>
    <row r="81" spans="2:5">
      <c r="B81" s="4" t="s">
        <v>776</v>
      </c>
      <c r="C81" s="24">
        <v>4.8999999999999998E-3</v>
      </c>
      <c r="D81" s="4"/>
      <c r="E81" s="4"/>
    </row>
    <row r="82" spans="2:5">
      <c r="B82" s="4" t="s">
        <v>774</v>
      </c>
      <c r="C82" s="24">
        <v>2.3199999999999998E-2</v>
      </c>
      <c r="D82" s="4"/>
      <c r="E82" s="4"/>
    </row>
    <row r="83" spans="2:5">
      <c r="B83" s="4" t="s">
        <v>715</v>
      </c>
      <c r="C83" s="24">
        <v>0.1</v>
      </c>
      <c r="D83" s="4"/>
      <c r="E83" s="4"/>
    </row>
    <row r="84" spans="2:5">
      <c r="B84" s="4" t="s">
        <v>768</v>
      </c>
      <c r="C84" s="24">
        <v>4</v>
      </c>
      <c r="D84" s="4"/>
      <c r="E84" s="4"/>
    </row>
    <row r="85" spans="2:5">
      <c r="B85" s="4" t="s">
        <v>765</v>
      </c>
      <c r="C85" s="24">
        <v>3.6000000000000002E-4</v>
      </c>
      <c r="D85" s="4"/>
      <c r="E85" s="4"/>
    </row>
    <row r="86" spans="2:5">
      <c r="B86" s="4" t="s">
        <v>810</v>
      </c>
      <c r="C86" s="24">
        <v>6.2700000000000006E-2</v>
      </c>
      <c r="D86" s="4"/>
      <c r="E86" s="4"/>
    </row>
    <row r="87" spans="2:5">
      <c r="B87" s="4" t="s">
        <v>429</v>
      </c>
      <c r="C87" s="24">
        <v>6.0555000000000003</v>
      </c>
      <c r="D87" s="4"/>
      <c r="E87" s="4"/>
    </row>
    <row r="88" spans="2:5">
      <c r="B88" s="4" t="s">
        <v>722</v>
      </c>
      <c r="C88" s="24">
        <v>0.15</v>
      </c>
      <c r="D88" s="4"/>
      <c r="E88" s="4"/>
    </row>
    <row r="89" spans="2:5">
      <c r="B89" s="4" t="s">
        <v>782</v>
      </c>
      <c r="C89" s="24">
        <v>0.12130000000000001</v>
      </c>
      <c r="D89" s="4"/>
      <c r="E89" s="4"/>
    </row>
    <row r="90" spans="2:5">
      <c r="B90" s="4" t="s">
        <v>771</v>
      </c>
      <c r="C90" s="24">
        <v>0.61650199999999999</v>
      </c>
      <c r="D90" s="4"/>
      <c r="E90" s="4"/>
    </row>
    <row r="91" spans="2:5">
      <c r="B91" s="4" t="s">
        <v>698</v>
      </c>
      <c r="C91" s="24">
        <v>2.4E-2</v>
      </c>
      <c r="D91" s="4"/>
      <c r="E91" s="4"/>
    </row>
    <row r="92" spans="2:5">
      <c r="B92" s="4" t="s">
        <v>801</v>
      </c>
      <c r="C92" s="24">
        <v>0.99750000000000005</v>
      </c>
      <c r="D92" s="4"/>
      <c r="E92" s="4"/>
    </row>
    <row r="93" spans="2:5">
      <c r="B93" s="4" t="s">
        <v>767</v>
      </c>
      <c r="C93" s="24">
        <v>90</v>
      </c>
      <c r="D93" s="4"/>
      <c r="E93" s="4"/>
    </row>
    <row r="94" spans="2:5">
      <c r="B94" s="4" t="s">
        <v>303</v>
      </c>
      <c r="C94" s="24">
        <v>66.845656999999989</v>
      </c>
      <c r="D94" s="4"/>
      <c r="E94" s="4"/>
    </row>
    <row r="95" spans="2:5">
      <c r="B95" s="4" t="s">
        <v>791</v>
      </c>
      <c r="C95" s="24">
        <v>3</v>
      </c>
      <c r="D95" s="4"/>
      <c r="E95" s="4"/>
    </row>
    <row r="96" spans="2:5">
      <c r="B96" s="4" t="s">
        <v>742</v>
      </c>
      <c r="C96" s="24">
        <v>0.1</v>
      </c>
      <c r="D96" s="4"/>
      <c r="E96" s="4"/>
    </row>
    <row r="97" spans="2:5">
      <c r="B97" s="4" t="s">
        <v>757</v>
      </c>
      <c r="C97" s="24">
        <v>1.3851790000000002</v>
      </c>
      <c r="D97" s="4"/>
      <c r="E97" s="4"/>
    </row>
    <row r="98" spans="2:5">
      <c r="B98" s="4" t="s">
        <v>743</v>
      </c>
      <c r="C98" s="24">
        <v>0.09</v>
      </c>
      <c r="D98" s="4"/>
      <c r="E98" s="4"/>
    </row>
    <row r="99" spans="2:5">
      <c r="B99" s="4" t="s">
        <v>785</v>
      </c>
      <c r="C99" s="24">
        <v>61.496980999999991</v>
      </c>
      <c r="D99" s="4"/>
      <c r="E99" s="4"/>
    </row>
    <row r="100" spans="2:5">
      <c r="B100" s="4" t="s">
        <v>775</v>
      </c>
      <c r="C100" s="24">
        <v>1.1293000000000001E-2</v>
      </c>
      <c r="D100" s="4"/>
      <c r="E100" s="4"/>
    </row>
    <row r="101" spans="2:5">
      <c r="B101" s="4" t="s">
        <v>814</v>
      </c>
      <c r="C101" s="24">
        <v>203.87784399999998</v>
      </c>
      <c r="D101" s="4"/>
      <c r="E101" s="4"/>
    </row>
    <row r="102" spans="2:5">
      <c r="B102" s="4" t="s">
        <v>749</v>
      </c>
      <c r="C102" s="24">
        <v>0.04</v>
      </c>
      <c r="D102" s="4"/>
      <c r="E102" s="4"/>
    </row>
    <row r="103" spans="2:5">
      <c r="B103" s="4" t="s">
        <v>728</v>
      </c>
      <c r="C103" s="24">
        <v>0.7</v>
      </c>
      <c r="D103" s="4"/>
      <c r="E103" s="4"/>
    </row>
    <row r="104" spans="2:5">
      <c r="B104" s="4" t="s">
        <v>813</v>
      </c>
      <c r="C104" s="24">
        <v>2.9950000000000001E-2</v>
      </c>
      <c r="D104" s="4"/>
      <c r="E104" s="4"/>
    </row>
    <row r="105" spans="2:5">
      <c r="B105" s="4" t="s">
        <v>786</v>
      </c>
      <c r="C105" s="24">
        <v>50.001715000000004</v>
      </c>
      <c r="D105" s="4"/>
      <c r="E105" s="4"/>
    </row>
    <row r="106" spans="2:5">
      <c r="B106" s="4" t="s">
        <v>734</v>
      </c>
      <c r="C106" s="24">
        <v>0.2</v>
      </c>
      <c r="D106" s="4"/>
      <c r="E106" s="4"/>
    </row>
    <row r="107" spans="2:5">
      <c r="B107" s="4" t="s">
        <v>807</v>
      </c>
      <c r="C107" s="24">
        <v>0.25</v>
      </c>
      <c r="D107" s="4"/>
      <c r="E107" s="4"/>
    </row>
    <row r="108" spans="2:5">
      <c r="B108" s="4" t="s">
        <v>792</v>
      </c>
      <c r="C108" s="24">
        <v>3</v>
      </c>
      <c r="D108" s="4"/>
      <c r="E108" s="4"/>
    </row>
    <row r="109" spans="2:5">
      <c r="B109" s="4" t="s">
        <v>724</v>
      </c>
      <c r="C109" s="24">
        <v>154.33451099999999</v>
      </c>
      <c r="D109" s="4"/>
      <c r="E109" s="4"/>
    </row>
    <row r="110" spans="2:5">
      <c r="B110" s="4" t="s">
        <v>726</v>
      </c>
      <c r="C110" s="24">
        <v>3.5999999999999997E-2</v>
      </c>
      <c r="D110" s="4"/>
      <c r="E110" s="4"/>
    </row>
    <row r="111" spans="2:5">
      <c r="B111" s="4" t="s">
        <v>735</v>
      </c>
      <c r="C111" s="24">
        <v>0.15</v>
      </c>
      <c r="D111" s="4"/>
      <c r="E111" s="4"/>
    </row>
    <row r="112" spans="2:5">
      <c r="B112" s="4" t="s">
        <v>815</v>
      </c>
      <c r="C112" s="110">
        <f>SUM(C3:C111)</f>
        <v>3327.928793999999</v>
      </c>
      <c r="D112" s="4"/>
      <c r="E112" s="4"/>
    </row>
  </sheetData>
  <phoneticPr fontId="6" type="noConversion"/>
  <pageMargins left="0.69930555555555596" right="0.69930555555555596"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E13"/>
  <sheetViews>
    <sheetView zoomScale="90" zoomScaleNormal="90" workbookViewId="0">
      <selection activeCell="E3" sqref="E3"/>
    </sheetView>
  </sheetViews>
  <sheetFormatPr defaultColWidth="9" defaultRowHeight="14.4"/>
  <cols>
    <col min="1" max="1" width="3" style="8" customWidth="1"/>
    <col min="2" max="2" width="33.59765625" style="8" customWidth="1"/>
    <col min="3" max="3" width="22.8984375" style="8" customWidth="1"/>
    <col min="4" max="4" width="15.5" style="8" customWidth="1"/>
    <col min="5" max="5" width="23" style="8" customWidth="1"/>
    <col min="6" max="16384" width="9" style="8"/>
  </cols>
  <sheetData>
    <row r="1" spans="2:5">
      <c r="B1" s="13" t="s">
        <v>159</v>
      </c>
      <c r="E1" s="39">
        <f>应收账款明细!$K$1</f>
        <v>44012</v>
      </c>
    </row>
    <row r="2" spans="2:5">
      <c r="B2" s="58" t="s">
        <v>153</v>
      </c>
      <c r="C2" s="58" t="s">
        <v>44</v>
      </c>
      <c r="D2" s="58" t="s">
        <v>27</v>
      </c>
      <c r="E2" s="58" t="s">
        <v>57</v>
      </c>
    </row>
    <row r="3" spans="2:5">
      <c r="B3" s="2" t="s">
        <v>969</v>
      </c>
      <c r="C3" s="10">
        <v>587.5</v>
      </c>
      <c r="D3" s="12"/>
      <c r="E3" s="11"/>
    </row>
    <row r="4" spans="2:5">
      <c r="B4" s="2"/>
      <c r="C4" s="10"/>
      <c r="D4" s="12"/>
      <c r="E4" s="11"/>
    </row>
    <row r="5" spans="2:5">
      <c r="B5" s="2"/>
      <c r="C5" s="10"/>
      <c r="D5" s="12"/>
      <c r="E5" s="11"/>
    </row>
    <row r="6" spans="2:5">
      <c r="B6" s="2"/>
      <c r="C6" s="10"/>
      <c r="D6" s="12"/>
      <c r="E6" s="11"/>
    </row>
    <row r="7" spans="2:5">
      <c r="B7" s="2"/>
      <c r="C7" s="10"/>
      <c r="D7" s="12"/>
      <c r="E7" s="11"/>
    </row>
    <row r="8" spans="2:5">
      <c r="B8" s="2"/>
      <c r="C8" s="10"/>
      <c r="D8" s="12"/>
      <c r="E8" s="11"/>
    </row>
    <row r="9" spans="2:5">
      <c r="B9" s="2"/>
      <c r="C9" s="10"/>
      <c r="D9" s="12"/>
      <c r="E9" s="11"/>
    </row>
    <row r="10" spans="2:5">
      <c r="B10" s="2"/>
      <c r="C10" s="10"/>
      <c r="D10" s="12"/>
      <c r="E10" s="11"/>
    </row>
    <row r="11" spans="2:5">
      <c r="B11" s="2"/>
      <c r="C11" s="10"/>
      <c r="D11" s="12"/>
      <c r="E11" s="10"/>
    </row>
    <row r="12" spans="2:5">
      <c r="B12" s="2"/>
      <c r="C12" s="10"/>
      <c r="D12" s="12"/>
      <c r="E12" s="10"/>
    </row>
    <row r="13" spans="2:5">
      <c r="B13" s="10" t="s">
        <v>28</v>
      </c>
      <c r="C13" s="10">
        <f>SUM(C3:C12)</f>
        <v>587.5</v>
      </c>
      <c r="D13" s="12"/>
      <c r="E13" s="11"/>
    </row>
  </sheetData>
  <phoneticPr fontId="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E13"/>
  <sheetViews>
    <sheetView zoomScale="90" zoomScaleNormal="90" workbookViewId="0">
      <selection activeCell="I25" sqref="I25"/>
    </sheetView>
  </sheetViews>
  <sheetFormatPr defaultColWidth="9" defaultRowHeight="14.4"/>
  <cols>
    <col min="1" max="1" width="3" style="8" customWidth="1"/>
    <col min="2" max="2" width="33.59765625" style="8" customWidth="1"/>
    <col min="3" max="3" width="22.8984375" style="8" customWidth="1"/>
    <col min="4" max="4" width="15.5" style="8" customWidth="1"/>
    <col min="5" max="5" width="23" style="8" customWidth="1"/>
    <col min="6" max="16384" width="9" style="8"/>
  </cols>
  <sheetData>
    <row r="1" spans="2:5">
      <c r="B1" s="13" t="s">
        <v>160</v>
      </c>
      <c r="E1" s="39">
        <f>应收账款明细!$K$1</f>
        <v>44012</v>
      </c>
    </row>
    <row r="2" spans="2:5">
      <c r="B2" s="58" t="s">
        <v>153</v>
      </c>
      <c r="C2" s="58" t="s">
        <v>44</v>
      </c>
      <c r="D2" s="58" t="s">
        <v>27</v>
      </c>
      <c r="E2" s="58" t="s">
        <v>57</v>
      </c>
    </row>
    <row r="3" spans="2:5">
      <c r="B3" s="2" t="s">
        <v>870</v>
      </c>
      <c r="C3" s="10"/>
      <c r="D3" s="12"/>
      <c r="E3" s="11"/>
    </row>
    <row r="4" spans="2:5">
      <c r="B4" s="2"/>
      <c r="C4" s="10"/>
      <c r="D4" s="12"/>
      <c r="E4" s="11"/>
    </row>
    <row r="5" spans="2:5">
      <c r="B5" s="2"/>
      <c r="C5" s="10"/>
      <c r="D5" s="12"/>
      <c r="E5" s="11"/>
    </row>
    <row r="6" spans="2:5">
      <c r="B6" s="2"/>
      <c r="C6" s="10"/>
      <c r="D6" s="12"/>
      <c r="E6" s="11"/>
    </row>
    <row r="7" spans="2:5">
      <c r="B7" s="2"/>
      <c r="C7" s="10"/>
      <c r="D7" s="12"/>
      <c r="E7" s="11"/>
    </row>
    <row r="8" spans="2:5">
      <c r="B8" s="2"/>
      <c r="C8" s="10"/>
      <c r="D8" s="12"/>
      <c r="E8" s="11"/>
    </row>
    <row r="9" spans="2:5">
      <c r="B9" s="2"/>
      <c r="C9" s="10"/>
      <c r="D9" s="12"/>
      <c r="E9" s="11"/>
    </row>
    <row r="10" spans="2:5">
      <c r="B10" s="2"/>
      <c r="C10" s="10"/>
      <c r="D10" s="12"/>
      <c r="E10" s="11"/>
    </row>
    <row r="11" spans="2:5">
      <c r="B11" s="2"/>
      <c r="C11" s="10"/>
      <c r="D11" s="12"/>
      <c r="E11" s="10"/>
    </row>
    <row r="12" spans="2:5">
      <c r="B12" s="2"/>
      <c r="C12" s="10"/>
      <c r="D12" s="12"/>
      <c r="E12" s="10"/>
    </row>
    <row r="13" spans="2:5">
      <c r="B13" s="10" t="s">
        <v>28</v>
      </c>
      <c r="C13" s="10">
        <f>SUM(C3:C12)</f>
        <v>0</v>
      </c>
      <c r="D13" s="12"/>
      <c r="E13" s="11"/>
    </row>
  </sheetData>
  <phoneticPr fontId="6" type="noConversion"/>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34</vt:i4>
      </vt:variant>
    </vt:vector>
  </HeadingPairs>
  <TitlesOfParts>
    <vt:vector size="34" baseType="lpstr">
      <vt:lpstr>材料汇总</vt:lpstr>
      <vt:lpstr>内部关联方基本信息</vt:lpstr>
      <vt:lpstr>关联方交易</vt:lpstr>
      <vt:lpstr>实收资本</vt:lpstr>
      <vt:lpstr>盈利预测</vt:lpstr>
      <vt:lpstr>合并口径财务报表</vt:lpstr>
      <vt:lpstr>报告（自动生成）</vt:lpstr>
      <vt:lpstr>收入、毛利率构成表</vt:lpstr>
      <vt:lpstr>成本构成表</vt:lpstr>
      <vt:lpstr>前10大客户、供应商</vt:lpstr>
      <vt:lpstr>四大费用明细</vt:lpstr>
      <vt:lpstr>减值准备变动表</vt:lpstr>
      <vt:lpstr>营业外收支</vt:lpstr>
      <vt:lpstr>员工薪酬</vt:lpstr>
      <vt:lpstr>货币资金</vt:lpstr>
      <vt:lpstr>应收账款明细</vt:lpstr>
      <vt:lpstr>预付账款明细</vt:lpstr>
      <vt:lpstr>其他应收款</vt:lpstr>
      <vt:lpstr>存货分类</vt:lpstr>
      <vt:lpstr>其他流动资产</vt:lpstr>
      <vt:lpstr>可供出售金融资产</vt:lpstr>
      <vt:lpstr>长期股权投资</vt:lpstr>
      <vt:lpstr>商誉</vt:lpstr>
      <vt:lpstr>固定资产构成表</vt:lpstr>
      <vt:lpstr>在建工程</vt:lpstr>
      <vt:lpstr>无形资产构成</vt:lpstr>
      <vt:lpstr>长期待摊费用</vt:lpstr>
      <vt:lpstr>其他非流动资产</vt:lpstr>
      <vt:lpstr>长短期借款</vt:lpstr>
      <vt:lpstr>应付账款</vt:lpstr>
      <vt:lpstr>预收账款</vt:lpstr>
      <vt:lpstr>其他应付</vt:lpstr>
      <vt:lpstr>其他流动负债</vt:lpstr>
      <vt:lpstr>其他非流动负债</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Administrator</cp:lastModifiedBy>
  <cp:revision>1</cp:revision>
  <dcterms:created xsi:type="dcterms:W3CDTF">2013-01-09T07:17:00Z</dcterms:created>
  <dcterms:modified xsi:type="dcterms:W3CDTF">2026-03-25T06:54:12Z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2052-10.1.0.6929</vt:lpwstr>
  </property>
</Properties>
</file>